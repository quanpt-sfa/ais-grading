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SoTay"/>
  <mc:AlternateContent xmlns:mc="http://schemas.openxmlformats.org/markup-compatibility/2006">
    <mc:Choice Requires="x15">
      <x15ac:absPath xmlns:x15ac="http://schemas.microsoft.com/office/spreadsheetml/2010/11/ac" url="D:\Quan\"/>
    </mc:Choice>
  </mc:AlternateContent>
  <xr:revisionPtr revIDLastSave="0" documentId="13_ncr:1_{A2FAEC47-D651-40BC-B3DB-2E6F8F757C63}" xr6:coauthVersionLast="47" xr6:coauthVersionMax="47" xr10:uidLastSave="{00000000-0000-0000-0000-000000000000}"/>
  <bookViews>
    <workbookView xWindow="-120" yWindow="-120" windowWidth="15600" windowHeight="11310" firstSheet="1" activeTab="2" xr2:uid="{00000000-000D-0000-FFFF-FFFF00000000}"/>
  </bookViews>
  <sheets>
    <sheet name="TruyVan" sheetId="1" r:id="rId1"/>
    <sheet name="DapAn" sheetId="2" r:id="rId2"/>
    <sheet name="BaiLam" sheetId="4" r:id="rId3"/>
    <sheet name="DanhSach" sheetId="6" r:id="rId4"/>
    <sheet name="Sheet1" sheetId="16" r:id="rId5"/>
    <sheet name="BangDiem" sheetId="5" r:id="rId6"/>
    <sheet name="DatabaseLoi" sheetId="12" r:id="rId7"/>
    <sheet name="DS_Data" sheetId="15" r:id="rId8"/>
  </sheets>
  <functionGroups builtInGroupCount="19"/>
  <externalReferences>
    <externalReference r:id="rId9"/>
  </externalReferences>
  <definedNames>
    <definedName name="Amount" localSheetId="6">[1]DapAn!$V$8:$V$2000</definedName>
    <definedName name="Amount">DapAn!$V$8:$V$2000</definedName>
    <definedName name="BaiLam_DiemSDTH" localSheetId="6">[1]BaiLam!$T$8:$T$2000</definedName>
    <definedName name="BaiLam_DiemSDTH">BaiLam!$T$8:$T$2000</definedName>
    <definedName name="BaiLam_DiemSDTS" localSheetId="6">[1]BaiLam!$M$8:$M$100</definedName>
    <definedName name="BaiLam_DiemSDTS">BaiLam!$M$8:$M$100</definedName>
    <definedName name="BaiLam_NghiepVu" localSheetId="6">[1]BaiLam!$Z$8:$Z$2000</definedName>
    <definedName name="BaiLam_NghiepVu">BaiLam!$Z$8:$Z$2000</definedName>
    <definedName name="DanhSach">DanhSach!$B$7:$E$79</definedName>
    <definedName name="DanhSachSV" localSheetId="6">[1]DanhSach!$B$7:$D$200</definedName>
    <definedName name="DanhSachSV">DanhSach!$B$7:$D$790</definedName>
    <definedName name="GiaTriKhauHao" localSheetId="6">[1]DapAn!$E$8:$E$100</definedName>
    <definedName name="GiaTriKhauHao">DapAn!$E$8:$E$100</definedName>
    <definedName name="HaoMonLuyKe" localSheetId="6">[1]DapAn!$F$8:$F$100</definedName>
    <definedName name="HaoMonLuyKe">DapAn!$F$8:$F$100</definedName>
    <definedName name="ItemCode" localSheetId="6">[1]DapAn!$U$8:$U$2000</definedName>
    <definedName name="ItemCode">DapAn!$U$8:$U$2000</definedName>
    <definedName name="LoaiBC">DapAn!$T$8:$T$2000</definedName>
    <definedName name="MaCT">DapAn!$U$8:$U$2000</definedName>
    <definedName name="NguyenGiaTSCD" localSheetId="6">[1]DapAn!$D$8:$D$100</definedName>
    <definedName name="NguyenGiaTSCD">DapAn!$D$8:$D$100</definedName>
    <definedName name="NV" localSheetId="6">[1]DapAn!$O$8:$O$2000</definedName>
    <definedName name="NV">DapAn!$O$8:$O$2000</definedName>
    <definedName name="ReportType" localSheetId="6">[1]DapAn!$T$8:$T$2000</definedName>
    <definedName name="ReportType">DapAn!$T$8:$T$2000</definedName>
    <definedName name="SoLuong" localSheetId="6">[1]DapAn!$S$8:$S$2000</definedName>
    <definedName name="SoLuong">DapAn!$S$8:$S$2000</definedName>
    <definedName name="TGSDCL" localSheetId="6">[1]DapAn!$H$8:$H$100</definedName>
    <definedName name="TGSDCL">DapAn!$H$8:$H$100</definedName>
    <definedName name="TGSDTSCD" localSheetId="6">[1]DapAn!$G$8:$G$100</definedName>
    <definedName name="TGSDTSCD">DapAn!$G$8:$G$100</definedName>
    <definedName name="TH_DuCo" localSheetId="6">[1]DapAn!$L$8:$L$2000</definedName>
    <definedName name="TH_DuCo">DapAn!$L$8:$L$2000</definedName>
    <definedName name="TH_DuCoNT" localSheetId="6">[1]DapAn!$M$8:$M$2000</definedName>
    <definedName name="TH_DuCoNT">DapAn!$M$8:$M$2000</definedName>
    <definedName name="TH_DuNo" localSheetId="6">[1]DapAn!$J$8:$J$2000</definedName>
    <definedName name="TH_DuNo">DapAn!$J$8:$J$2000</definedName>
    <definedName name="TH_DuNoNT" localSheetId="6">[1]DapAn!$K$8:$K$2000</definedName>
    <definedName name="TH_DuNoNT">DapAn!$K$8:$K$2000</definedName>
    <definedName name="TH_SoLuong" localSheetId="6">[1]DapAn!$N$8:$N$2000</definedName>
    <definedName name="TH_SoLuong">DapAn!$N$8:$N$2000</definedName>
    <definedName name="TH_TK" localSheetId="6">[1]DapAn!$I$8:$I$2000</definedName>
    <definedName name="TH_TK">DapAn!$I$8:$I$2000</definedName>
    <definedName name="TK" localSheetId="6">[1]DapAn!$P$8:$P$2000</definedName>
    <definedName name="TK">DapAn!$P$8:$P$2000</definedName>
    <definedName name="TongCo" localSheetId="6">[1]DapAn!$R$8:$R$2000</definedName>
    <definedName name="TongCo">DapAn!$R$8:$R$2000</definedName>
    <definedName name="TongNo" localSheetId="6">[1]DapAn!$Q$8:$Q$2000</definedName>
    <definedName name="TongNo">DapAn!$Q$8:$Q$2000</definedName>
    <definedName name="TongSoTien">DapAn!$V$8:$V$2000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6" l="1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1" i="16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F75" i="15"/>
  <c r="G75" i="15"/>
  <c r="H75" i="15"/>
  <c r="I75" i="15"/>
  <c r="J75" i="15"/>
  <c r="K75" i="15"/>
  <c r="L75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2" i="15"/>
  <c r="G3" i="15"/>
  <c r="H3" i="15"/>
  <c r="I3" i="15"/>
  <c r="J3" i="15"/>
  <c r="K3" i="15"/>
  <c r="L3" i="15"/>
  <c r="G4" i="15"/>
  <c r="H4" i="15"/>
  <c r="I4" i="15"/>
  <c r="J4" i="15"/>
  <c r="K4" i="15"/>
  <c r="L4" i="15"/>
  <c r="G5" i="15"/>
  <c r="H5" i="15"/>
  <c r="I5" i="15"/>
  <c r="J5" i="15"/>
  <c r="K5" i="15"/>
  <c r="L5" i="15"/>
  <c r="G6" i="15"/>
  <c r="H6" i="15"/>
  <c r="I6" i="15"/>
  <c r="J6" i="15"/>
  <c r="K6" i="15"/>
  <c r="L6" i="15"/>
  <c r="G7" i="15"/>
  <c r="H7" i="15"/>
  <c r="I7" i="15"/>
  <c r="J7" i="15"/>
  <c r="K7" i="15"/>
  <c r="L7" i="15"/>
  <c r="G8" i="15"/>
  <c r="H8" i="15"/>
  <c r="I8" i="15"/>
  <c r="J8" i="15"/>
  <c r="K8" i="15"/>
  <c r="L8" i="15"/>
  <c r="G9" i="15"/>
  <c r="H9" i="15"/>
  <c r="I9" i="15"/>
  <c r="J9" i="15"/>
  <c r="K9" i="15"/>
  <c r="L9" i="15"/>
  <c r="G10" i="15"/>
  <c r="H10" i="15"/>
  <c r="I10" i="15"/>
  <c r="J10" i="15"/>
  <c r="K10" i="15"/>
  <c r="L10" i="15"/>
  <c r="G11" i="15"/>
  <c r="H11" i="15"/>
  <c r="I11" i="15"/>
  <c r="J11" i="15"/>
  <c r="K11" i="15"/>
  <c r="L11" i="15"/>
  <c r="G12" i="15"/>
  <c r="H12" i="15"/>
  <c r="I12" i="15"/>
  <c r="J12" i="15"/>
  <c r="K12" i="15"/>
  <c r="L12" i="15"/>
  <c r="G13" i="15"/>
  <c r="H13" i="15"/>
  <c r="I13" i="15"/>
  <c r="J13" i="15"/>
  <c r="K13" i="15"/>
  <c r="L13" i="15"/>
  <c r="G14" i="15"/>
  <c r="H14" i="15"/>
  <c r="I14" i="15"/>
  <c r="J14" i="15"/>
  <c r="K14" i="15"/>
  <c r="L14" i="15"/>
  <c r="G15" i="15"/>
  <c r="H15" i="15"/>
  <c r="I15" i="15"/>
  <c r="J15" i="15"/>
  <c r="K15" i="15"/>
  <c r="L15" i="15"/>
  <c r="G16" i="15"/>
  <c r="H16" i="15"/>
  <c r="I16" i="15"/>
  <c r="J16" i="15"/>
  <c r="K16" i="15"/>
  <c r="L16" i="15"/>
  <c r="G17" i="15"/>
  <c r="H17" i="15"/>
  <c r="I17" i="15"/>
  <c r="J17" i="15"/>
  <c r="K17" i="15"/>
  <c r="L17" i="15"/>
  <c r="G18" i="15"/>
  <c r="H18" i="15"/>
  <c r="I18" i="15"/>
  <c r="J18" i="15"/>
  <c r="K18" i="15"/>
  <c r="L18" i="15"/>
  <c r="G19" i="15"/>
  <c r="H19" i="15"/>
  <c r="I19" i="15"/>
  <c r="J19" i="15"/>
  <c r="K19" i="15"/>
  <c r="L19" i="15"/>
  <c r="G20" i="15"/>
  <c r="H20" i="15"/>
  <c r="I20" i="15"/>
  <c r="J20" i="15"/>
  <c r="K20" i="15"/>
  <c r="L20" i="15"/>
  <c r="G21" i="15"/>
  <c r="H21" i="15"/>
  <c r="I21" i="15"/>
  <c r="J21" i="15"/>
  <c r="K21" i="15"/>
  <c r="L21" i="15"/>
  <c r="G22" i="15"/>
  <c r="H22" i="15"/>
  <c r="I22" i="15"/>
  <c r="J22" i="15"/>
  <c r="K22" i="15"/>
  <c r="L22" i="15"/>
  <c r="G23" i="15"/>
  <c r="H23" i="15"/>
  <c r="I23" i="15"/>
  <c r="J23" i="15"/>
  <c r="K23" i="15"/>
  <c r="L23" i="15"/>
  <c r="G24" i="15"/>
  <c r="H24" i="15"/>
  <c r="I24" i="15"/>
  <c r="J24" i="15"/>
  <c r="K24" i="15"/>
  <c r="L24" i="15"/>
  <c r="G25" i="15"/>
  <c r="H25" i="15"/>
  <c r="I25" i="15"/>
  <c r="J25" i="15"/>
  <c r="K25" i="15"/>
  <c r="L25" i="15"/>
  <c r="G26" i="15"/>
  <c r="H26" i="15"/>
  <c r="I26" i="15"/>
  <c r="J26" i="15"/>
  <c r="K26" i="15"/>
  <c r="L26" i="15"/>
  <c r="G27" i="15"/>
  <c r="H27" i="15"/>
  <c r="I27" i="15"/>
  <c r="J27" i="15"/>
  <c r="K27" i="15"/>
  <c r="L27" i="15"/>
  <c r="G28" i="15"/>
  <c r="H28" i="15"/>
  <c r="I28" i="15"/>
  <c r="J28" i="15"/>
  <c r="K28" i="15"/>
  <c r="L28" i="15"/>
  <c r="G29" i="15"/>
  <c r="H29" i="15"/>
  <c r="I29" i="15"/>
  <c r="J29" i="15"/>
  <c r="K29" i="15"/>
  <c r="L29" i="15"/>
  <c r="G30" i="15"/>
  <c r="H30" i="15"/>
  <c r="I30" i="15"/>
  <c r="J30" i="15"/>
  <c r="K30" i="15"/>
  <c r="L30" i="15"/>
  <c r="G31" i="15"/>
  <c r="H31" i="15"/>
  <c r="I31" i="15"/>
  <c r="J31" i="15"/>
  <c r="K31" i="15"/>
  <c r="L31" i="15"/>
  <c r="G32" i="15"/>
  <c r="H32" i="15"/>
  <c r="I32" i="15"/>
  <c r="J32" i="15"/>
  <c r="K32" i="15"/>
  <c r="L32" i="15"/>
  <c r="G33" i="15"/>
  <c r="H33" i="15"/>
  <c r="I33" i="15"/>
  <c r="J33" i="15"/>
  <c r="K33" i="15"/>
  <c r="L33" i="15"/>
  <c r="G34" i="15"/>
  <c r="H34" i="15"/>
  <c r="I34" i="15"/>
  <c r="J34" i="15"/>
  <c r="K34" i="15"/>
  <c r="L34" i="15"/>
  <c r="G35" i="15"/>
  <c r="H35" i="15"/>
  <c r="I35" i="15"/>
  <c r="J35" i="15"/>
  <c r="K35" i="15"/>
  <c r="L35" i="15"/>
  <c r="G36" i="15"/>
  <c r="H36" i="15"/>
  <c r="I36" i="15"/>
  <c r="J36" i="15"/>
  <c r="K36" i="15"/>
  <c r="L36" i="15"/>
  <c r="G37" i="15"/>
  <c r="H37" i="15"/>
  <c r="I37" i="15"/>
  <c r="J37" i="15"/>
  <c r="K37" i="15"/>
  <c r="L37" i="15"/>
  <c r="G38" i="15"/>
  <c r="H38" i="15"/>
  <c r="I38" i="15"/>
  <c r="J38" i="15"/>
  <c r="K38" i="15"/>
  <c r="L38" i="15"/>
  <c r="G39" i="15"/>
  <c r="H39" i="15"/>
  <c r="I39" i="15"/>
  <c r="J39" i="15"/>
  <c r="K39" i="15"/>
  <c r="L39" i="15"/>
  <c r="G40" i="15"/>
  <c r="H40" i="15"/>
  <c r="I40" i="15"/>
  <c r="J40" i="15"/>
  <c r="K40" i="15"/>
  <c r="L40" i="15"/>
  <c r="G41" i="15"/>
  <c r="H41" i="15"/>
  <c r="I41" i="15"/>
  <c r="J41" i="15"/>
  <c r="K41" i="15"/>
  <c r="L41" i="15"/>
  <c r="G42" i="15"/>
  <c r="H42" i="15"/>
  <c r="I42" i="15"/>
  <c r="J42" i="15"/>
  <c r="K42" i="15"/>
  <c r="L42" i="15"/>
  <c r="G43" i="15"/>
  <c r="H43" i="15"/>
  <c r="I43" i="15"/>
  <c r="J43" i="15"/>
  <c r="K43" i="15"/>
  <c r="L43" i="15"/>
  <c r="G44" i="15"/>
  <c r="H44" i="15"/>
  <c r="I44" i="15"/>
  <c r="J44" i="15"/>
  <c r="K44" i="15"/>
  <c r="L44" i="15"/>
  <c r="G45" i="15"/>
  <c r="H45" i="15"/>
  <c r="I45" i="15"/>
  <c r="J45" i="15"/>
  <c r="K45" i="15"/>
  <c r="L45" i="15"/>
  <c r="G46" i="15"/>
  <c r="H46" i="15"/>
  <c r="I46" i="15"/>
  <c r="J46" i="15"/>
  <c r="K46" i="15"/>
  <c r="L46" i="15"/>
  <c r="G47" i="15"/>
  <c r="H47" i="15"/>
  <c r="I47" i="15"/>
  <c r="J47" i="15"/>
  <c r="K47" i="15"/>
  <c r="L47" i="15"/>
  <c r="G48" i="15"/>
  <c r="H48" i="15"/>
  <c r="I48" i="15"/>
  <c r="J48" i="15"/>
  <c r="K48" i="15"/>
  <c r="L48" i="15"/>
  <c r="G49" i="15"/>
  <c r="H49" i="15"/>
  <c r="I49" i="15"/>
  <c r="J49" i="15"/>
  <c r="K49" i="15"/>
  <c r="L49" i="15"/>
  <c r="G50" i="15"/>
  <c r="H50" i="15"/>
  <c r="I50" i="15"/>
  <c r="J50" i="15"/>
  <c r="K50" i="15"/>
  <c r="L50" i="15"/>
  <c r="G51" i="15"/>
  <c r="H51" i="15"/>
  <c r="I51" i="15"/>
  <c r="J51" i="15"/>
  <c r="K51" i="15"/>
  <c r="L51" i="15"/>
  <c r="G52" i="15"/>
  <c r="H52" i="15"/>
  <c r="I52" i="15"/>
  <c r="J52" i="15"/>
  <c r="K52" i="15"/>
  <c r="L52" i="15"/>
  <c r="G53" i="15"/>
  <c r="H53" i="15"/>
  <c r="I53" i="15"/>
  <c r="J53" i="15"/>
  <c r="K53" i="15"/>
  <c r="L53" i="15"/>
  <c r="G54" i="15"/>
  <c r="H54" i="15"/>
  <c r="I54" i="15"/>
  <c r="J54" i="15"/>
  <c r="K54" i="15"/>
  <c r="L54" i="15"/>
  <c r="G55" i="15"/>
  <c r="H55" i="15"/>
  <c r="I55" i="15"/>
  <c r="J55" i="15"/>
  <c r="K55" i="15"/>
  <c r="L55" i="15"/>
  <c r="G56" i="15"/>
  <c r="H56" i="15"/>
  <c r="I56" i="15"/>
  <c r="J56" i="15"/>
  <c r="K56" i="15"/>
  <c r="L56" i="15"/>
  <c r="G57" i="15"/>
  <c r="H57" i="15"/>
  <c r="I57" i="15"/>
  <c r="J57" i="15"/>
  <c r="K57" i="15"/>
  <c r="L57" i="15"/>
  <c r="G58" i="15"/>
  <c r="H58" i="15"/>
  <c r="I58" i="15"/>
  <c r="J58" i="15"/>
  <c r="K58" i="15"/>
  <c r="L58" i="15"/>
  <c r="G59" i="15"/>
  <c r="H59" i="15"/>
  <c r="I59" i="15"/>
  <c r="J59" i="15"/>
  <c r="K59" i="15"/>
  <c r="L59" i="15"/>
  <c r="G60" i="15"/>
  <c r="H60" i="15"/>
  <c r="I60" i="15"/>
  <c r="J60" i="15"/>
  <c r="K60" i="15"/>
  <c r="L60" i="15"/>
  <c r="G61" i="15"/>
  <c r="H61" i="15"/>
  <c r="I61" i="15"/>
  <c r="J61" i="15"/>
  <c r="K61" i="15"/>
  <c r="L61" i="15"/>
  <c r="G62" i="15"/>
  <c r="H62" i="15"/>
  <c r="I62" i="15"/>
  <c r="J62" i="15"/>
  <c r="K62" i="15"/>
  <c r="L62" i="15"/>
  <c r="G63" i="15"/>
  <c r="H63" i="15"/>
  <c r="I63" i="15"/>
  <c r="J63" i="15"/>
  <c r="K63" i="15"/>
  <c r="L63" i="15"/>
  <c r="G64" i="15"/>
  <c r="H64" i="15"/>
  <c r="I64" i="15"/>
  <c r="J64" i="15"/>
  <c r="K64" i="15"/>
  <c r="L64" i="15"/>
  <c r="G65" i="15"/>
  <c r="H65" i="15"/>
  <c r="I65" i="15"/>
  <c r="J65" i="15"/>
  <c r="K65" i="15"/>
  <c r="L65" i="15"/>
  <c r="G66" i="15"/>
  <c r="H66" i="15"/>
  <c r="I66" i="15"/>
  <c r="J66" i="15"/>
  <c r="K66" i="15"/>
  <c r="L66" i="15"/>
  <c r="G67" i="15"/>
  <c r="H67" i="15"/>
  <c r="I67" i="15"/>
  <c r="J67" i="15"/>
  <c r="K67" i="15"/>
  <c r="L67" i="15"/>
  <c r="G68" i="15"/>
  <c r="H68" i="15"/>
  <c r="I68" i="15"/>
  <c r="J68" i="15"/>
  <c r="K68" i="15"/>
  <c r="L68" i="15"/>
  <c r="G69" i="15"/>
  <c r="H69" i="15"/>
  <c r="I69" i="15"/>
  <c r="J69" i="15"/>
  <c r="K69" i="15"/>
  <c r="L69" i="15"/>
  <c r="G70" i="15"/>
  <c r="H70" i="15"/>
  <c r="I70" i="15"/>
  <c r="J70" i="15"/>
  <c r="K70" i="15"/>
  <c r="L70" i="15"/>
  <c r="G71" i="15"/>
  <c r="H71" i="15"/>
  <c r="I71" i="15"/>
  <c r="J71" i="15"/>
  <c r="K71" i="15"/>
  <c r="L71" i="15"/>
  <c r="G72" i="15"/>
  <c r="H72" i="15"/>
  <c r="I72" i="15"/>
  <c r="J72" i="15"/>
  <c r="K72" i="15"/>
  <c r="L72" i="15"/>
  <c r="G73" i="15"/>
  <c r="H73" i="15"/>
  <c r="I73" i="15"/>
  <c r="J73" i="15"/>
  <c r="K73" i="15"/>
  <c r="L73" i="15"/>
  <c r="G74" i="15"/>
  <c r="H74" i="15"/>
  <c r="I74" i="15"/>
  <c r="J74" i="15"/>
  <c r="K74" i="15"/>
  <c r="L74" i="15"/>
  <c r="L2" i="15" l="1"/>
  <c r="K2" i="15"/>
  <c r="J2" i="15"/>
  <c r="I2" i="15"/>
  <c r="H2" i="15"/>
  <c r="G2" i="15"/>
  <c r="M12" i="4" l="1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C11" i="5"/>
  <c r="D11" i="5"/>
  <c r="I11" i="5"/>
  <c r="C7" i="5"/>
  <c r="D7" i="5"/>
  <c r="C8" i="5"/>
  <c r="D8" i="5"/>
  <c r="C9" i="5"/>
  <c r="D9" i="5"/>
  <c r="C10" i="5"/>
  <c r="D10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I8" i="5"/>
  <c r="I9" i="5"/>
  <c r="I10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7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E3" i="4" l="1"/>
  <c r="E3" i="2"/>
  <c r="H6" i="2" l="1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Z1402" i="4"/>
  <c r="Z1403" i="4"/>
  <c r="Z1404" i="4"/>
  <c r="Z1405" i="4"/>
  <c r="Z1406" i="4"/>
  <c r="Z1407" i="4"/>
  <c r="Z1408" i="4"/>
  <c r="Z1409" i="4"/>
  <c r="Z1410" i="4"/>
  <c r="Z1411" i="4"/>
  <c r="Z1412" i="4"/>
  <c r="Z1413" i="4"/>
  <c r="Z1414" i="4"/>
  <c r="Z1415" i="4"/>
  <c r="Z1416" i="4"/>
  <c r="Z1417" i="4"/>
  <c r="Z1418" i="4"/>
  <c r="Z1419" i="4"/>
  <c r="Z1420" i="4"/>
  <c r="Z1421" i="4"/>
  <c r="Z1422" i="4"/>
  <c r="Z1423" i="4"/>
  <c r="Z1424" i="4"/>
  <c r="Z1425" i="4"/>
  <c r="Z1426" i="4"/>
  <c r="Z1427" i="4"/>
  <c r="Z1428" i="4"/>
  <c r="Z1429" i="4"/>
  <c r="Z1430" i="4"/>
  <c r="Z1431" i="4"/>
  <c r="Z1432" i="4"/>
  <c r="Z1433" i="4"/>
  <c r="Z1434" i="4"/>
  <c r="Z1435" i="4"/>
  <c r="Z1436" i="4"/>
  <c r="Z1437" i="4"/>
  <c r="Z1438" i="4"/>
  <c r="Z1439" i="4"/>
  <c r="Z1440" i="4"/>
  <c r="Z1441" i="4"/>
  <c r="Z1442" i="4"/>
  <c r="Z1443" i="4"/>
  <c r="Z1444" i="4"/>
  <c r="Z1445" i="4"/>
  <c r="Z1446" i="4"/>
  <c r="Z1447" i="4"/>
  <c r="Z1448" i="4"/>
  <c r="Z1449" i="4"/>
  <c r="Z1450" i="4"/>
  <c r="Z1451" i="4"/>
  <c r="Z1452" i="4"/>
  <c r="Z1453" i="4"/>
  <c r="Z1454" i="4"/>
  <c r="Z1455" i="4"/>
  <c r="Z1456" i="4"/>
  <c r="Z1457" i="4"/>
  <c r="Z1458" i="4"/>
  <c r="Z1459" i="4"/>
  <c r="Z1460" i="4"/>
  <c r="Z1461" i="4"/>
  <c r="Z1462" i="4"/>
  <c r="Z1463" i="4"/>
  <c r="Z1464" i="4"/>
  <c r="Z1465" i="4"/>
  <c r="Z1466" i="4"/>
  <c r="Z1467" i="4"/>
  <c r="Z1468" i="4"/>
  <c r="Z1469" i="4"/>
  <c r="Z1470" i="4"/>
  <c r="Z1471" i="4"/>
  <c r="Z1472" i="4"/>
  <c r="Z1473" i="4"/>
  <c r="Z1474" i="4"/>
  <c r="Z1475" i="4"/>
  <c r="Z1476" i="4"/>
  <c r="Z1477" i="4"/>
  <c r="Z1478" i="4"/>
  <c r="Z1479" i="4"/>
  <c r="Z1480" i="4"/>
  <c r="Z1481" i="4"/>
  <c r="Z1482" i="4"/>
  <c r="Z1483" i="4"/>
  <c r="Z1484" i="4"/>
  <c r="Z1485" i="4"/>
  <c r="Z1486" i="4"/>
  <c r="Z1487" i="4"/>
  <c r="Z1488" i="4"/>
  <c r="Z1489" i="4"/>
  <c r="Z1490" i="4"/>
  <c r="Z1491" i="4"/>
  <c r="Z1492" i="4"/>
  <c r="Z1493" i="4"/>
  <c r="Z1494" i="4"/>
  <c r="Z1495" i="4"/>
  <c r="Z1496" i="4"/>
  <c r="Z1497" i="4"/>
  <c r="Z1498" i="4"/>
  <c r="Z1499" i="4"/>
  <c r="Z1500" i="4"/>
  <c r="Z1501" i="4"/>
  <c r="Z1502" i="4"/>
  <c r="Z1503" i="4"/>
  <c r="Z1504" i="4"/>
  <c r="Z1505" i="4"/>
  <c r="Z1506" i="4"/>
  <c r="Z1507" i="4"/>
  <c r="Z1508" i="4"/>
  <c r="Z1509" i="4"/>
  <c r="Z1510" i="4"/>
  <c r="Z1511" i="4"/>
  <c r="Z1512" i="4"/>
  <c r="Z1513" i="4"/>
  <c r="Z1514" i="4"/>
  <c r="Z1515" i="4"/>
  <c r="Z1516" i="4"/>
  <c r="Z1517" i="4"/>
  <c r="Z1518" i="4"/>
  <c r="Z1519" i="4"/>
  <c r="Z1520" i="4"/>
  <c r="Z1521" i="4"/>
  <c r="Z1522" i="4"/>
  <c r="Z1523" i="4"/>
  <c r="Z1524" i="4"/>
  <c r="Z1525" i="4"/>
  <c r="Z1526" i="4"/>
  <c r="Z1527" i="4"/>
  <c r="Z1528" i="4"/>
  <c r="Z1529" i="4"/>
  <c r="Z1530" i="4"/>
  <c r="Z1531" i="4"/>
  <c r="Z1532" i="4"/>
  <c r="Z1533" i="4"/>
  <c r="Z1534" i="4"/>
  <c r="Z1535" i="4"/>
  <c r="Z1536" i="4"/>
  <c r="Z1537" i="4"/>
  <c r="Z1538" i="4"/>
  <c r="Z1539" i="4"/>
  <c r="Z1540" i="4"/>
  <c r="Z1541" i="4"/>
  <c r="Z1542" i="4"/>
  <c r="Z1543" i="4"/>
  <c r="Z1544" i="4"/>
  <c r="Z1545" i="4"/>
  <c r="Z1546" i="4"/>
  <c r="Z1547" i="4"/>
  <c r="Z1548" i="4"/>
  <c r="Z1549" i="4"/>
  <c r="Z1550" i="4"/>
  <c r="Z1551" i="4"/>
  <c r="Z1552" i="4"/>
  <c r="Z1553" i="4"/>
  <c r="Z1554" i="4"/>
  <c r="Z1555" i="4"/>
  <c r="Z1556" i="4"/>
  <c r="Z1557" i="4"/>
  <c r="Z1558" i="4"/>
  <c r="Z1559" i="4"/>
  <c r="Z1560" i="4"/>
  <c r="Z1561" i="4"/>
  <c r="Z1562" i="4"/>
  <c r="Z1563" i="4"/>
  <c r="Z1564" i="4"/>
  <c r="Z1565" i="4"/>
  <c r="Z1566" i="4"/>
  <c r="Z1567" i="4"/>
  <c r="Z1568" i="4"/>
  <c r="Z1569" i="4"/>
  <c r="Z1570" i="4"/>
  <c r="Z1571" i="4"/>
  <c r="Z1572" i="4"/>
  <c r="Z1573" i="4"/>
  <c r="Z1574" i="4"/>
  <c r="Z1575" i="4"/>
  <c r="Z1576" i="4"/>
  <c r="Z1577" i="4"/>
  <c r="Z1578" i="4"/>
  <c r="Z1579" i="4"/>
  <c r="Z1580" i="4"/>
  <c r="Z1581" i="4"/>
  <c r="Z1582" i="4"/>
  <c r="Z1583" i="4"/>
  <c r="Z1584" i="4"/>
  <c r="Z1585" i="4"/>
  <c r="Z1586" i="4"/>
  <c r="Z1587" i="4"/>
  <c r="Z1588" i="4"/>
  <c r="Z1589" i="4"/>
  <c r="Z1590" i="4"/>
  <c r="Z1591" i="4"/>
  <c r="Z1592" i="4"/>
  <c r="Z1593" i="4"/>
  <c r="Z1594" i="4"/>
  <c r="Z1595" i="4"/>
  <c r="Z1596" i="4"/>
  <c r="Z1597" i="4"/>
  <c r="Z1598" i="4"/>
  <c r="Z1599" i="4"/>
  <c r="Z1600" i="4"/>
  <c r="Z1601" i="4"/>
  <c r="Z1602" i="4"/>
  <c r="Z1603" i="4"/>
  <c r="Z1604" i="4"/>
  <c r="Z1605" i="4"/>
  <c r="Z1606" i="4"/>
  <c r="Z1607" i="4"/>
  <c r="Z1608" i="4"/>
  <c r="Z1609" i="4"/>
  <c r="Z1610" i="4"/>
  <c r="Z1611" i="4"/>
  <c r="Z1612" i="4"/>
  <c r="Z1613" i="4"/>
  <c r="Z1614" i="4"/>
  <c r="Z1615" i="4"/>
  <c r="Z1616" i="4"/>
  <c r="Z1617" i="4"/>
  <c r="Z1618" i="4"/>
  <c r="Z1619" i="4"/>
  <c r="Z1620" i="4"/>
  <c r="Z1621" i="4"/>
  <c r="Z1622" i="4"/>
  <c r="Z1623" i="4"/>
  <c r="Z1624" i="4"/>
  <c r="Z1625" i="4"/>
  <c r="Z1626" i="4"/>
  <c r="Z1627" i="4"/>
  <c r="Z1628" i="4"/>
  <c r="Z1629" i="4"/>
  <c r="Z1630" i="4"/>
  <c r="Z1631" i="4"/>
  <c r="Z1632" i="4"/>
  <c r="Z1633" i="4"/>
  <c r="Z1634" i="4"/>
  <c r="Z1635" i="4"/>
  <c r="Z1636" i="4"/>
  <c r="Z1637" i="4"/>
  <c r="Z1638" i="4"/>
  <c r="Z1639" i="4"/>
  <c r="Z1640" i="4"/>
  <c r="Z1641" i="4"/>
  <c r="Z1642" i="4"/>
  <c r="Z1643" i="4"/>
  <c r="Z1644" i="4"/>
  <c r="Z1645" i="4"/>
  <c r="Z1646" i="4"/>
  <c r="Z1647" i="4"/>
  <c r="Z1648" i="4"/>
  <c r="Z1649" i="4"/>
  <c r="Z1650" i="4"/>
  <c r="Z1651" i="4"/>
  <c r="Z1652" i="4"/>
  <c r="Z1653" i="4"/>
  <c r="Z1654" i="4"/>
  <c r="Z1655" i="4"/>
  <c r="Z1656" i="4"/>
  <c r="Z1657" i="4"/>
  <c r="Z1658" i="4"/>
  <c r="Z1659" i="4"/>
  <c r="Z1660" i="4"/>
  <c r="Z1661" i="4"/>
  <c r="Z1662" i="4"/>
  <c r="Z1663" i="4"/>
  <c r="Z1664" i="4"/>
  <c r="Z1665" i="4"/>
  <c r="Z1666" i="4"/>
  <c r="Z1667" i="4"/>
  <c r="Z1668" i="4"/>
  <c r="Z1669" i="4"/>
  <c r="Z1670" i="4"/>
  <c r="Z1671" i="4"/>
  <c r="Z1672" i="4"/>
  <c r="Z1673" i="4"/>
  <c r="Z1674" i="4"/>
  <c r="Z1675" i="4"/>
  <c r="Z1676" i="4"/>
  <c r="Z1677" i="4"/>
  <c r="Z1678" i="4"/>
  <c r="Z1679" i="4"/>
  <c r="Z1680" i="4"/>
  <c r="Z1681" i="4"/>
  <c r="Z1682" i="4"/>
  <c r="Z1683" i="4"/>
  <c r="Z1684" i="4"/>
  <c r="Z1685" i="4"/>
  <c r="Z1686" i="4"/>
  <c r="Z1687" i="4"/>
  <c r="Z1688" i="4"/>
  <c r="Z1689" i="4"/>
  <c r="Z1690" i="4"/>
  <c r="Z1691" i="4"/>
  <c r="Z1692" i="4"/>
  <c r="Z1693" i="4"/>
  <c r="Z1694" i="4"/>
  <c r="Z1695" i="4"/>
  <c r="Z1696" i="4"/>
  <c r="Z1697" i="4"/>
  <c r="Z1698" i="4"/>
  <c r="Z1699" i="4"/>
  <c r="Z1700" i="4"/>
  <c r="Z1701" i="4"/>
  <c r="Z1702" i="4"/>
  <c r="Z1703" i="4"/>
  <c r="Z1704" i="4"/>
  <c r="Z1705" i="4"/>
  <c r="Z1706" i="4"/>
  <c r="Z1707" i="4"/>
  <c r="Z1708" i="4"/>
  <c r="Z1709" i="4"/>
  <c r="Z1710" i="4"/>
  <c r="Z1711" i="4"/>
  <c r="Z1712" i="4"/>
  <c r="Z1713" i="4"/>
  <c r="Z1714" i="4"/>
  <c r="Z1715" i="4"/>
  <c r="Z1716" i="4"/>
  <c r="Z1717" i="4"/>
  <c r="Z1718" i="4"/>
  <c r="Z1719" i="4"/>
  <c r="Z1720" i="4"/>
  <c r="Z1721" i="4"/>
  <c r="Z1722" i="4"/>
  <c r="Z1723" i="4"/>
  <c r="Z1724" i="4"/>
  <c r="Z1725" i="4"/>
  <c r="Z1726" i="4"/>
  <c r="Z1727" i="4"/>
  <c r="Z1728" i="4"/>
  <c r="Z1729" i="4"/>
  <c r="Z1730" i="4"/>
  <c r="Z1731" i="4"/>
  <c r="Z1732" i="4"/>
  <c r="Z1733" i="4"/>
  <c r="Z1734" i="4"/>
  <c r="Z1735" i="4"/>
  <c r="Z1736" i="4"/>
  <c r="Z1737" i="4"/>
  <c r="Z1738" i="4"/>
  <c r="Z1739" i="4"/>
  <c r="Z1740" i="4"/>
  <c r="Z1741" i="4"/>
  <c r="Z1742" i="4"/>
  <c r="Z1743" i="4"/>
  <c r="Z1744" i="4"/>
  <c r="Z1745" i="4"/>
  <c r="Z1746" i="4"/>
  <c r="Z1747" i="4"/>
  <c r="Z1748" i="4"/>
  <c r="Z1749" i="4"/>
  <c r="Z1750" i="4"/>
  <c r="Z1751" i="4"/>
  <c r="Z1752" i="4"/>
  <c r="Z1753" i="4"/>
  <c r="Z1754" i="4"/>
  <c r="Z1755" i="4"/>
  <c r="Z1756" i="4"/>
  <c r="Z1757" i="4"/>
  <c r="Z1758" i="4"/>
  <c r="Z1759" i="4"/>
  <c r="Z1760" i="4"/>
  <c r="Z1761" i="4"/>
  <c r="Z1762" i="4"/>
  <c r="Z1763" i="4"/>
  <c r="Z1764" i="4"/>
  <c r="Z1765" i="4"/>
  <c r="Z1766" i="4"/>
  <c r="Z1767" i="4"/>
  <c r="Z1768" i="4"/>
  <c r="Z1769" i="4"/>
  <c r="Z1770" i="4"/>
  <c r="Z1771" i="4"/>
  <c r="Z1772" i="4"/>
  <c r="Z1773" i="4"/>
  <c r="Z1774" i="4"/>
  <c r="Z1775" i="4"/>
  <c r="Z1776" i="4"/>
  <c r="Z1777" i="4"/>
  <c r="Z1778" i="4"/>
  <c r="Z1779" i="4"/>
  <c r="Z1780" i="4"/>
  <c r="Z1781" i="4"/>
  <c r="Z1782" i="4"/>
  <c r="Z1783" i="4"/>
  <c r="Z1784" i="4"/>
  <c r="Z1785" i="4"/>
  <c r="Z1786" i="4"/>
  <c r="Z1787" i="4"/>
  <c r="Z1788" i="4"/>
  <c r="Z1789" i="4"/>
  <c r="Z1790" i="4"/>
  <c r="Z1791" i="4"/>
  <c r="Z1792" i="4"/>
  <c r="Z1793" i="4"/>
  <c r="Z1794" i="4"/>
  <c r="Z1795" i="4"/>
  <c r="Z1796" i="4"/>
  <c r="Z1797" i="4"/>
  <c r="Z1798" i="4"/>
  <c r="Z1799" i="4"/>
  <c r="Z1800" i="4"/>
  <c r="Z1801" i="4"/>
  <c r="Z1802" i="4"/>
  <c r="Z1803" i="4"/>
  <c r="Z1804" i="4"/>
  <c r="Z1805" i="4"/>
  <c r="Z1806" i="4"/>
  <c r="Z1807" i="4"/>
  <c r="Z1808" i="4"/>
  <c r="Z1809" i="4"/>
  <c r="Z1810" i="4"/>
  <c r="Z1811" i="4"/>
  <c r="Z1812" i="4"/>
  <c r="Z1813" i="4"/>
  <c r="Z1814" i="4"/>
  <c r="Z1815" i="4"/>
  <c r="Z1816" i="4"/>
  <c r="Z1817" i="4"/>
  <c r="Z1818" i="4"/>
  <c r="Z1819" i="4"/>
  <c r="Z1820" i="4"/>
  <c r="Z1821" i="4"/>
  <c r="Z1822" i="4"/>
  <c r="Z1823" i="4"/>
  <c r="Z1824" i="4"/>
  <c r="Z1825" i="4"/>
  <c r="Z1826" i="4"/>
  <c r="Z1827" i="4"/>
  <c r="Z1828" i="4"/>
  <c r="Z1829" i="4"/>
  <c r="Z1830" i="4"/>
  <c r="Z1831" i="4"/>
  <c r="Z1832" i="4"/>
  <c r="Z1833" i="4"/>
  <c r="Z1834" i="4"/>
  <c r="Z1835" i="4"/>
  <c r="Z1836" i="4"/>
  <c r="Z1837" i="4"/>
  <c r="Z1838" i="4"/>
  <c r="Z1839" i="4"/>
  <c r="Z1840" i="4"/>
  <c r="Z1841" i="4"/>
  <c r="Z1842" i="4"/>
  <c r="Z1843" i="4"/>
  <c r="Z1844" i="4"/>
  <c r="Z1845" i="4"/>
  <c r="Z1846" i="4"/>
  <c r="Z1847" i="4"/>
  <c r="Z1848" i="4"/>
  <c r="Z1849" i="4"/>
  <c r="Z1850" i="4"/>
  <c r="Z1851" i="4"/>
  <c r="Z1852" i="4"/>
  <c r="Z1853" i="4"/>
  <c r="Z1854" i="4"/>
  <c r="Z1855" i="4"/>
  <c r="Z1856" i="4"/>
  <c r="Z1857" i="4"/>
  <c r="Z1858" i="4"/>
  <c r="Z1859" i="4"/>
  <c r="Z1860" i="4"/>
  <c r="Z1861" i="4"/>
  <c r="Z1862" i="4"/>
  <c r="Z1863" i="4"/>
  <c r="Z1864" i="4"/>
  <c r="Z1865" i="4"/>
  <c r="Z1866" i="4"/>
  <c r="Z1867" i="4"/>
  <c r="Z1868" i="4"/>
  <c r="Z1869" i="4"/>
  <c r="Z1870" i="4"/>
  <c r="Z1871" i="4"/>
  <c r="Z1872" i="4"/>
  <c r="Z1873" i="4"/>
  <c r="Z1874" i="4"/>
  <c r="Z1875" i="4"/>
  <c r="Z1876" i="4"/>
  <c r="Z1877" i="4"/>
  <c r="Z1878" i="4"/>
  <c r="Z1879" i="4"/>
  <c r="Z1880" i="4"/>
  <c r="Z1881" i="4"/>
  <c r="Z1882" i="4"/>
  <c r="Z1883" i="4"/>
  <c r="Z1884" i="4"/>
  <c r="Z1885" i="4"/>
  <c r="Z1886" i="4"/>
  <c r="Z1887" i="4"/>
  <c r="Z1888" i="4"/>
  <c r="Z1889" i="4"/>
  <c r="Z1890" i="4"/>
  <c r="Z1891" i="4"/>
  <c r="Z1892" i="4"/>
  <c r="Z1893" i="4"/>
  <c r="Z1894" i="4"/>
  <c r="Z1895" i="4"/>
  <c r="Z1896" i="4"/>
  <c r="Z1897" i="4"/>
  <c r="Z1898" i="4"/>
  <c r="Z1899" i="4"/>
  <c r="Z1900" i="4"/>
  <c r="Z1901" i="4"/>
  <c r="Z1902" i="4"/>
  <c r="Z1903" i="4"/>
  <c r="Z1904" i="4"/>
  <c r="Z1905" i="4"/>
  <c r="Z1906" i="4"/>
  <c r="Z1907" i="4"/>
  <c r="Z1908" i="4"/>
  <c r="Z1909" i="4"/>
  <c r="Z1910" i="4"/>
  <c r="Z1911" i="4"/>
  <c r="Z1912" i="4"/>
  <c r="Z1913" i="4"/>
  <c r="Z1914" i="4"/>
  <c r="Z1915" i="4"/>
  <c r="Z1916" i="4"/>
  <c r="Z1917" i="4"/>
  <c r="Z1918" i="4"/>
  <c r="Z1919" i="4"/>
  <c r="Z1920" i="4"/>
  <c r="Z1921" i="4"/>
  <c r="Z1922" i="4"/>
  <c r="Z1923" i="4"/>
  <c r="Z1924" i="4"/>
  <c r="Z1925" i="4"/>
  <c r="Z1926" i="4"/>
  <c r="Z1927" i="4"/>
  <c r="Z1928" i="4"/>
  <c r="Z1929" i="4"/>
  <c r="Z1930" i="4"/>
  <c r="Z1931" i="4"/>
  <c r="Z1932" i="4"/>
  <c r="Z1933" i="4"/>
  <c r="Z1934" i="4"/>
  <c r="Z1935" i="4"/>
  <c r="Z1936" i="4"/>
  <c r="Z1937" i="4"/>
  <c r="Z1938" i="4"/>
  <c r="Z1939" i="4"/>
  <c r="Z1940" i="4"/>
  <c r="Z1941" i="4"/>
  <c r="Z1942" i="4"/>
  <c r="Z1943" i="4"/>
  <c r="Z1944" i="4"/>
  <c r="Z1945" i="4"/>
  <c r="Z1946" i="4"/>
  <c r="Z1947" i="4"/>
  <c r="Z1948" i="4"/>
  <c r="Z1949" i="4"/>
  <c r="Z1950" i="4"/>
  <c r="Z1951" i="4"/>
  <c r="Z1952" i="4"/>
  <c r="Z1953" i="4"/>
  <c r="Z1954" i="4"/>
  <c r="Z1955" i="4"/>
  <c r="Z1956" i="4"/>
  <c r="Z1957" i="4"/>
  <c r="Z1958" i="4"/>
  <c r="Z1959" i="4"/>
  <c r="Z1960" i="4"/>
  <c r="Z1961" i="4"/>
  <c r="Z1962" i="4"/>
  <c r="Z1963" i="4"/>
  <c r="Z1964" i="4"/>
  <c r="Z1965" i="4"/>
  <c r="Z1966" i="4"/>
  <c r="Z1967" i="4"/>
  <c r="Z1968" i="4"/>
  <c r="Z1969" i="4"/>
  <c r="Z1970" i="4"/>
  <c r="Z1971" i="4"/>
  <c r="Z1972" i="4"/>
  <c r="Z1973" i="4"/>
  <c r="Z1974" i="4"/>
  <c r="Z1975" i="4"/>
  <c r="Z1976" i="4"/>
  <c r="Z1977" i="4"/>
  <c r="Z1978" i="4"/>
  <c r="Z1979" i="4"/>
  <c r="Z1980" i="4"/>
  <c r="Z1981" i="4"/>
  <c r="Z1982" i="4"/>
  <c r="Z1983" i="4"/>
  <c r="Z1984" i="4"/>
  <c r="Z1985" i="4"/>
  <c r="Z1986" i="4"/>
  <c r="Z1987" i="4"/>
  <c r="Z1988" i="4"/>
  <c r="Z1989" i="4"/>
  <c r="Z1990" i="4"/>
  <c r="Z1991" i="4"/>
  <c r="Z1992" i="4"/>
  <c r="Z1993" i="4"/>
  <c r="Z1994" i="4"/>
  <c r="Z1995" i="4"/>
  <c r="Z1996" i="4"/>
  <c r="Z1997" i="4"/>
  <c r="Z1998" i="4"/>
  <c r="Z1999" i="4"/>
  <c r="Z2000" i="4"/>
  <c r="Z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8" i="4"/>
  <c r="AF4" i="4" l="1"/>
  <c r="AF3" i="4"/>
  <c r="M9" i="4"/>
  <c r="M10" i="4"/>
  <c r="M11" i="4"/>
  <c r="M8" i="4"/>
  <c r="K1" i="5"/>
  <c r="AF2" i="4" l="1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C2" i="4"/>
  <c r="C3" i="4" l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F4" i="4"/>
  <c r="F3" i="4"/>
  <c r="E2" i="4"/>
  <c r="E2" i="2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D687" i="4"/>
  <c r="AD688" i="4"/>
  <c r="AD689" i="4"/>
  <c r="AD690" i="4"/>
  <c r="AD691" i="4"/>
  <c r="AD692" i="4"/>
  <c r="AD693" i="4"/>
  <c r="AD694" i="4"/>
  <c r="AD695" i="4"/>
  <c r="AD696" i="4"/>
  <c r="AD697" i="4"/>
  <c r="AD698" i="4"/>
  <c r="AD699" i="4"/>
  <c r="AD700" i="4"/>
  <c r="AD701" i="4"/>
  <c r="AD702" i="4"/>
  <c r="AD703" i="4"/>
  <c r="AD704" i="4"/>
  <c r="AD705" i="4"/>
  <c r="AD706" i="4"/>
  <c r="AD707" i="4"/>
  <c r="AD708" i="4"/>
  <c r="AD709" i="4"/>
  <c r="AD710" i="4"/>
  <c r="AD711" i="4"/>
  <c r="AD712" i="4"/>
  <c r="AD713" i="4"/>
  <c r="AD714" i="4"/>
  <c r="AD715" i="4"/>
  <c r="AD716" i="4"/>
  <c r="AD717" i="4"/>
  <c r="AD718" i="4"/>
  <c r="AD719" i="4"/>
  <c r="AD720" i="4"/>
  <c r="AD721" i="4"/>
  <c r="AD722" i="4"/>
  <c r="AD723" i="4"/>
  <c r="AD724" i="4"/>
  <c r="AD725" i="4"/>
  <c r="AD726" i="4"/>
  <c r="AD727" i="4"/>
  <c r="AD728" i="4"/>
  <c r="AD729" i="4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86" i="4"/>
  <c r="AD787" i="4"/>
  <c r="AD788" i="4"/>
  <c r="AD789" i="4"/>
  <c r="AD790" i="4"/>
  <c r="AD791" i="4"/>
  <c r="AD792" i="4"/>
  <c r="AD793" i="4"/>
  <c r="AD794" i="4"/>
  <c r="AD795" i="4"/>
  <c r="AD796" i="4"/>
  <c r="AD797" i="4"/>
  <c r="AD798" i="4"/>
  <c r="AD799" i="4"/>
  <c r="AD800" i="4"/>
  <c r="AD801" i="4"/>
  <c r="AD802" i="4"/>
  <c r="AD803" i="4"/>
  <c r="AD804" i="4"/>
  <c r="AD805" i="4"/>
  <c r="AD806" i="4"/>
  <c r="AD807" i="4"/>
  <c r="AD808" i="4"/>
  <c r="AD809" i="4"/>
  <c r="AD810" i="4"/>
  <c r="AD811" i="4"/>
  <c r="AD812" i="4"/>
  <c r="AD813" i="4"/>
  <c r="AD814" i="4"/>
  <c r="AD815" i="4"/>
  <c r="AD816" i="4"/>
  <c r="AD817" i="4"/>
  <c r="AD818" i="4"/>
  <c r="AD819" i="4"/>
  <c r="AD820" i="4"/>
  <c r="AD821" i="4"/>
  <c r="AD822" i="4"/>
  <c r="AD823" i="4"/>
  <c r="AD824" i="4"/>
  <c r="AD825" i="4"/>
  <c r="AD826" i="4"/>
  <c r="AD827" i="4"/>
  <c r="AD828" i="4"/>
  <c r="AD829" i="4"/>
  <c r="AD830" i="4"/>
  <c r="AD831" i="4"/>
  <c r="AD832" i="4"/>
  <c r="AD833" i="4"/>
  <c r="AD834" i="4"/>
  <c r="AD835" i="4"/>
  <c r="AD836" i="4"/>
  <c r="AD837" i="4"/>
  <c r="AD838" i="4"/>
  <c r="AD839" i="4"/>
  <c r="AD840" i="4"/>
  <c r="AD841" i="4"/>
  <c r="AD842" i="4"/>
  <c r="AD843" i="4"/>
  <c r="AD844" i="4"/>
  <c r="AD845" i="4"/>
  <c r="AD846" i="4"/>
  <c r="AD847" i="4"/>
  <c r="AD848" i="4"/>
  <c r="AD849" i="4"/>
  <c r="AD850" i="4"/>
  <c r="AD851" i="4"/>
  <c r="AD852" i="4"/>
  <c r="AD853" i="4"/>
  <c r="AD854" i="4"/>
  <c r="AD855" i="4"/>
  <c r="AD856" i="4"/>
  <c r="AD857" i="4"/>
  <c r="AD858" i="4"/>
  <c r="AD859" i="4"/>
  <c r="AD860" i="4"/>
  <c r="AD861" i="4"/>
  <c r="AD862" i="4"/>
  <c r="AD863" i="4"/>
  <c r="AD864" i="4"/>
  <c r="AD865" i="4"/>
  <c r="AD866" i="4"/>
  <c r="AD867" i="4"/>
  <c r="AD868" i="4"/>
  <c r="AD869" i="4"/>
  <c r="AD870" i="4"/>
  <c r="AD871" i="4"/>
  <c r="AD872" i="4"/>
  <c r="AD873" i="4"/>
  <c r="AD874" i="4"/>
  <c r="AD875" i="4"/>
  <c r="AD876" i="4"/>
  <c r="AD877" i="4"/>
  <c r="AD878" i="4"/>
  <c r="AD879" i="4"/>
  <c r="AD880" i="4"/>
  <c r="AD881" i="4"/>
  <c r="AD882" i="4"/>
  <c r="AD883" i="4"/>
  <c r="AD884" i="4"/>
  <c r="AD885" i="4"/>
  <c r="AD886" i="4"/>
  <c r="AD887" i="4"/>
  <c r="AD888" i="4"/>
  <c r="AD889" i="4"/>
  <c r="AD890" i="4"/>
  <c r="AD891" i="4"/>
  <c r="AD892" i="4"/>
  <c r="AD893" i="4"/>
  <c r="AD894" i="4"/>
  <c r="AD895" i="4"/>
  <c r="AD896" i="4"/>
  <c r="AD897" i="4"/>
  <c r="AD898" i="4"/>
  <c r="AD899" i="4"/>
  <c r="AD900" i="4"/>
  <c r="AD901" i="4"/>
  <c r="AD902" i="4"/>
  <c r="AD903" i="4"/>
  <c r="AD904" i="4"/>
  <c r="AD905" i="4"/>
  <c r="AD906" i="4"/>
  <c r="AD907" i="4"/>
  <c r="AD908" i="4"/>
  <c r="AD909" i="4"/>
  <c r="AD910" i="4"/>
  <c r="AD911" i="4"/>
  <c r="AD912" i="4"/>
  <c r="AD913" i="4"/>
  <c r="AD914" i="4"/>
  <c r="AD915" i="4"/>
  <c r="AD916" i="4"/>
  <c r="AD917" i="4"/>
  <c r="AD918" i="4"/>
  <c r="AD919" i="4"/>
  <c r="AD920" i="4"/>
  <c r="AD921" i="4"/>
  <c r="AD922" i="4"/>
  <c r="AD923" i="4"/>
  <c r="AD924" i="4"/>
  <c r="AD925" i="4"/>
  <c r="AD926" i="4"/>
  <c r="AD927" i="4"/>
  <c r="AD928" i="4"/>
  <c r="AD929" i="4"/>
  <c r="AD930" i="4"/>
  <c r="AD931" i="4"/>
  <c r="AD932" i="4"/>
  <c r="AD933" i="4"/>
  <c r="AD934" i="4"/>
  <c r="AD935" i="4"/>
  <c r="AD936" i="4"/>
  <c r="AD937" i="4"/>
  <c r="AD938" i="4"/>
  <c r="AD939" i="4"/>
  <c r="AD940" i="4"/>
  <c r="AD941" i="4"/>
  <c r="AD942" i="4"/>
  <c r="AD943" i="4"/>
  <c r="AD944" i="4"/>
  <c r="AD945" i="4"/>
  <c r="AD946" i="4"/>
  <c r="AD947" i="4"/>
  <c r="AD948" i="4"/>
  <c r="AD949" i="4"/>
  <c r="AD950" i="4"/>
  <c r="AD951" i="4"/>
  <c r="AD952" i="4"/>
  <c r="AD953" i="4"/>
  <c r="AD954" i="4"/>
  <c r="AD955" i="4"/>
  <c r="AD956" i="4"/>
  <c r="AD957" i="4"/>
  <c r="AD958" i="4"/>
  <c r="AD959" i="4"/>
  <c r="AD960" i="4"/>
  <c r="AD961" i="4"/>
  <c r="AD962" i="4"/>
  <c r="AD963" i="4"/>
  <c r="AD964" i="4"/>
  <c r="AD965" i="4"/>
  <c r="AD966" i="4"/>
  <c r="AD967" i="4"/>
  <c r="AD968" i="4"/>
  <c r="AD969" i="4"/>
  <c r="AD970" i="4"/>
  <c r="AD971" i="4"/>
  <c r="AD972" i="4"/>
  <c r="AD973" i="4"/>
  <c r="AD974" i="4"/>
  <c r="AD975" i="4"/>
  <c r="AD976" i="4"/>
  <c r="AD977" i="4"/>
  <c r="AD978" i="4"/>
  <c r="AD979" i="4"/>
  <c r="AD980" i="4"/>
  <c r="AD981" i="4"/>
  <c r="AD982" i="4"/>
  <c r="AD983" i="4"/>
  <c r="AD984" i="4"/>
  <c r="AD985" i="4"/>
  <c r="AD986" i="4"/>
  <c r="AD987" i="4"/>
  <c r="AD988" i="4"/>
  <c r="AD989" i="4"/>
  <c r="AD990" i="4"/>
  <c r="AD991" i="4"/>
  <c r="AD992" i="4"/>
  <c r="AD993" i="4"/>
  <c r="AD994" i="4"/>
  <c r="AD995" i="4"/>
  <c r="AD996" i="4"/>
  <c r="AD997" i="4"/>
  <c r="AD998" i="4"/>
  <c r="AD999" i="4"/>
  <c r="AD1000" i="4"/>
  <c r="AD1001" i="4"/>
  <c r="AD1002" i="4"/>
  <c r="AD1003" i="4"/>
  <c r="AD1004" i="4"/>
  <c r="AD1005" i="4"/>
  <c r="AD1006" i="4"/>
  <c r="AD1007" i="4"/>
  <c r="AD1008" i="4"/>
  <c r="AD1009" i="4"/>
  <c r="AD1010" i="4"/>
  <c r="AD1011" i="4"/>
  <c r="AD1012" i="4"/>
  <c r="AD1013" i="4"/>
  <c r="AD1014" i="4"/>
  <c r="AD1015" i="4"/>
  <c r="AD1016" i="4"/>
  <c r="AD1017" i="4"/>
  <c r="AD1018" i="4"/>
  <c r="AD1019" i="4"/>
  <c r="AD1020" i="4"/>
  <c r="AD1021" i="4"/>
  <c r="AD1022" i="4"/>
  <c r="AD1023" i="4"/>
  <c r="AD1024" i="4"/>
  <c r="AD1025" i="4"/>
  <c r="AD1026" i="4"/>
  <c r="AD1027" i="4"/>
  <c r="AD1028" i="4"/>
  <c r="AD1029" i="4"/>
  <c r="AD1030" i="4"/>
  <c r="AD1031" i="4"/>
  <c r="AD1032" i="4"/>
  <c r="AD1033" i="4"/>
  <c r="AD1034" i="4"/>
  <c r="AD1035" i="4"/>
  <c r="AD1036" i="4"/>
  <c r="AD1037" i="4"/>
  <c r="AD1038" i="4"/>
  <c r="AD1039" i="4"/>
  <c r="AD1040" i="4"/>
  <c r="AD1041" i="4"/>
  <c r="AD1042" i="4"/>
  <c r="AD1043" i="4"/>
  <c r="AD1044" i="4"/>
  <c r="AD1045" i="4"/>
  <c r="AD1046" i="4"/>
  <c r="AD1047" i="4"/>
  <c r="AD1048" i="4"/>
  <c r="AD1049" i="4"/>
  <c r="AD1050" i="4"/>
  <c r="AD1051" i="4"/>
  <c r="AD1052" i="4"/>
  <c r="AD1053" i="4"/>
  <c r="AD1054" i="4"/>
  <c r="AD1055" i="4"/>
  <c r="AD1056" i="4"/>
  <c r="AD1057" i="4"/>
  <c r="AD1058" i="4"/>
  <c r="AD1059" i="4"/>
  <c r="AD1060" i="4"/>
  <c r="AD1061" i="4"/>
  <c r="AD1062" i="4"/>
  <c r="AD1063" i="4"/>
  <c r="AD1064" i="4"/>
  <c r="AD1065" i="4"/>
  <c r="AD1066" i="4"/>
  <c r="AD1067" i="4"/>
  <c r="AD1068" i="4"/>
  <c r="AD1069" i="4"/>
  <c r="AD1070" i="4"/>
  <c r="AD1071" i="4"/>
  <c r="AD1072" i="4"/>
  <c r="AD1073" i="4"/>
  <c r="AD1074" i="4"/>
  <c r="AD1075" i="4"/>
  <c r="AD1076" i="4"/>
  <c r="AD1077" i="4"/>
  <c r="AD1078" i="4"/>
  <c r="AD1079" i="4"/>
  <c r="AD1080" i="4"/>
  <c r="AD1081" i="4"/>
  <c r="AD1082" i="4"/>
  <c r="AD1083" i="4"/>
  <c r="AD1084" i="4"/>
  <c r="AD1085" i="4"/>
  <c r="AD1086" i="4"/>
  <c r="AD1087" i="4"/>
  <c r="AD1088" i="4"/>
  <c r="AD1089" i="4"/>
  <c r="AD1090" i="4"/>
  <c r="AD1091" i="4"/>
  <c r="AD1092" i="4"/>
  <c r="AD1093" i="4"/>
  <c r="AD1094" i="4"/>
  <c r="AD1095" i="4"/>
  <c r="AD1096" i="4"/>
  <c r="AD1097" i="4"/>
  <c r="AD1098" i="4"/>
  <c r="AD1099" i="4"/>
  <c r="AD1100" i="4"/>
  <c r="AD1101" i="4"/>
  <c r="AD1102" i="4"/>
  <c r="AD1103" i="4"/>
  <c r="AD1104" i="4"/>
  <c r="AD1105" i="4"/>
  <c r="AD1106" i="4"/>
  <c r="AD1107" i="4"/>
  <c r="AD1108" i="4"/>
  <c r="AD1109" i="4"/>
  <c r="AD1110" i="4"/>
  <c r="AD1111" i="4"/>
  <c r="AD1112" i="4"/>
  <c r="AD1113" i="4"/>
  <c r="AD1114" i="4"/>
  <c r="AD1115" i="4"/>
  <c r="AD1116" i="4"/>
  <c r="AD1117" i="4"/>
  <c r="AD1118" i="4"/>
  <c r="AD1119" i="4"/>
  <c r="AD1120" i="4"/>
  <c r="AD1121" i="4"/>
  <c r="AD1122" i="4"/>
  <c r="AD1123" i="4"/>
  <c r="AD1124" i="4"/>
  <c r="AD1125" i="4"/>
  <c r="AD1126" i="4"/>
  <c r="AD1127" i="4"/>
  <c r="AD1128" i="4"/>
  <c r="AD1129" i="4"/>
  <c r="AD1130" i="4"/>
  <c r="AD1131" i="4"/>
  <c r="AD1132" i="4"/>
  <c r="AD1133" i="4"/>
  <c r="AD1134" i="4"/>
  <c r="AD1135" i="4"/>
  <c r="AD1136" i="4"/>
  <c r="AD1137" i="4"/>
  <c r="AD1138" i="4"/>
  <c r="AD1139" i="4"/>
  <c r="AD1140" i="4"/>
  <c r="AD1141" i="4"/>
  <c r="AD1142" i="4"/>
  <c r="AD1143" i="4"/>
  <c r="AD1144" i="4"/>
  <c r="AD1145" i="4"/>
  <c r="AD1146" i="4"/>
  <c r="AD1147" i="4"/>
  <c r="AD1148" i="4"/>
  <c r="AD1149" i="4"/>
  <c r="AD1150" i="4"/>
  <c r="AD1151" i="4"/>
  <c r="AD1152" i="4"/>
  <c r="AD1153" i="4"/>
  <c r="AD1154" i="4"/>
  <c r="AD1155" i="4"/>
  <c r="AD1156" i="4"/>
  <c r="AD1157" i="4"/>
  <c r="AD1158" i="4"/>
  <c r="AD1159" i="4"/>
  <c r="AD1160" i="4"/>
  <c r="AD1161" i="4"/>
  <c r="AD1162" i="4"/>
  <c r="AD1163" i="4"/>
  <c r="AD1164" i="4"/>
  <c r="AD1165" i="4"/>
  <c r="AD1166" i="4"/>
  <c r="AD1167" i="4"/>
  <c r="AD1168" i="4"/>
  <c r="AD1169" i="4"/>
  <c r="AD1170" i="4"/>
  <c r="AD1171" i="4"/>
  <c r="AD1172" i="4"/>
  <c r="AD1173" i="4"/>
  <c r="AD1174" i="4"/>
  <c r="AD1175" i="4"/>
  <c r="AD1176" i="4"/>
  <c r="AD1177" i="4"/>
  <c r="AD1178" i="4"/>
  <c r="AD1179" i="4"/>
  <c r="AD1180" i="4"/>
  <c r="AD1181" i="4"/>
  <c r="AD1182" i="4"/>
  <c r="AD1183" i="4"/>
  <c r="AD1184" i="4"/>
  <c r="AD1185" i="4"/>
  <c r="AD1186" i="4"/>
  <c r="AD1187" i="4"/>
  <c r="AD1188" i="4"/>
  <c r="AD1189" i="4"/>
  <c r="AD1190" i="4"/>
  <c r="AD1191" i="4"/>
  <c r="AD1192" i="4"/>
  <c r="AD1193" i="4"/>
  <c r="AD1194" i="4"/>
  <c r="AD1195" i="4"/>
  <c r="AD1196" i="4"/>
  <c r="AD1197" i="4"/>
  <c r="AD1198" i="4"/>
  <c r="AD1199" i="4"/>
  <c r="AD1200" i="4"/>
  <c r="AD1201" i="4"/>
  <c r="AD1202" i="4"/>
  <c r="AD1203" i="4"/>
  <c r="AD1204" i="4"/>
  <c r="AD1205" i="4"/>
  <c r="AD1206" i="4"/>
  <c r="AD1207" i="4"/>
  <c r="AD1208" i="4"/>
  <c r="AD1209" i="4"/>
  <c r="AD1210" i="4"/>
  <c r="AD1211" i="4"/>
  <c r="AD1212" i="4"/>
  <c r="AD1213" i="4"/>
  <c r="AD1214" i="4"/>
  <c r="AD1215" i="4"/>
  <c r="AD1216" i="4"/>
  <c r="AD1217" i="4"/>
  <c r="AD1218" i="4"/>
  <c r="AD1219" i="4"/>
  <c r="AD1220" i="4"/>
  <c r="AD1221" i="4"/>
  <c r="AD1222" i="4"/>
  <c r="AD1223" i="4"/>
  <c r="AD1224" i="4"/>
  <c r="AD1225" i="4"/>
  <c r="AD1226" i="4"/>
  <c r="AD1227" i="4"/>
  <c r="AD1228" i="4"/>
  <c r="AD1229" i="4"/>
  <c r="AD1230" i="4"/>
  <c r="AD1231" i="4"/>
  <c r="AD1232" i="4"/>
  <c r="AD1233" i="4"/>
  <c r="AD1234" i="4"/>
  <c r="AD1235" i="4"/>
  <c r="AD1236" i="4"/>
  <c r="AD1237" i="4"/>
  <c r="AD1238" i="4"/>
  <c r="AD1239" i="4"/>
  <c r="AD1240" i="4"/>
  <c r="AD1241" i="4"/>
  <c r="AD1242" i="4"/>
  <c r="AD1243" i="4"/>
  <c r="AD1244" i="4"/>
  <c r="AD1245" i="4"/>
  <c r="AD1246" i="4"/>
  <c r="AD1247" i="4"/>
  <c r="AD1248" i="4"/>
  <c r="AD1249" i="4"/>
  <c r="AD1250" i="4"/>
  <c r="AD1251" i="4"/>
  <c r="AD1252" i="4"/>
  <c r="AD1253" i="4"/>
  <c r="AD1254" i="4"/>
  <c r="AD1255" i="4"/>
  <c r="AD1256" i="4"/>
  <c r="AD1257" i="4"/>
  <c r="AD1258" i="4"/>
  <c r="AD1259" i="4"/>
  <c r="AD1260" i="4"/>
  <c r="AD1261" i="4"/>
  <c r="AD1262" i="4"/>
  <c r="AD1263" i="4"/>
  <c r="AD1264" i="4"/>
  <c r="AD1265" i="4"/>
  <c r="AD1266" i="4"/>
  <c r="AD1267" i="4"/>
  <c r="AD1268" i="4"/>
  <c r="AD1269" i="4"/>
  <c r="AD1270" i="4"/>
  <c r="AD1271" i="4"/>
  <c r="AD1272" i="4"/>
  <c r="AD1273" i="4"/>
  <c r="AD1274" i="4"/>
  <c r="AD1275" i="4"/>
  <c r="AD1276" i="4"/>
  <c r="AD1277" i="4"/>
  <c r="AD1278" i="4"/>
  <c r="AD1279" i="4"/>
  <c r="AD1280" i="4"/>
  <c r="AD1281" i="4"/>
  <c r="AD1282" i="4"/>
  <c r="AD1283" i="4"/>
  <c r="AD1284" i="4"/>
  <c r="AD1285" i="4"/>
  <c r="AD1286" i="4"/>
  <c r="AD1287" i="4"/>
  <c r="AD1288" i="4"/>
  <c r="AD1289" i="4"/>
  <c r="AD1290" i="4"/>
  <c r="AD1291" i="4"/>
  <c r="AD1292" i="4"/>
  <c r="AD1293" i="4"/>
  <c r="AD1294" i="4"/>
  <c r="AD1295" i="4"/>
  <c r="AD1296" i="4"/>
  <c r="AD1297" i="4"/>
  <c r="AD1298" i="4"/>
  <c r="AD1299" i="4"/>
  <c r="AD1300" i="4"/>
  <c r="AD1301" i="4"/>
  <c r="AD1302" i="4"/>
  <c r="AD1303" i="4"/>
  <c r="AD1304" i="4"/>
  <c r="AD1305" i="4"/>
  <c r="AD1306" i="4"/>
  <c r="AD1307" i="4"/>
  <c r="AD1308" i="4"/>
  <c r="AD1309" i="4"/>
  <c r="AD1310" i="4"/>
  <c r="AD1311" i="4"/>
  <c r="AD1312" i="4"/>
  <c r="AD1313" i="4"/>
  <c r="AD1314" i="4"/>
  <c r="AD1315" i="4"/>
  <c r="AD1316" i="4"/>
  <c r="AD1317" i="4"/>
  <c r="AD1318" i="4"/>
  <c r="AD1319" i="4"/>
  <c r="AD1320" i="4"/>
  <c r="AD1321" i="4"/>
  <c r="AD1322" i="4"/>
  <c r="AD1323" i="4"/>
  <c r="AD1324" i="4"/>
  <c r="AD1325" i="4"/>
  <c r="AD1326" i="4"/>
  <c r="AD1327" i="4"/>
  <c r="AD1328" i="4"/>
  <c r="AD1329" i="4"/>
  <c r="AD1330" i="4"/>
  <c r="AD1331" i="4"/>
  <c r="AD1332" i="4"/>
  <c r="AD1333" i="4"/>
  <c r="AD1334" i="4"/>
  <c r="AD1335" i="4"/>
  <c r="AD1336" i="4"/>
  <c r="AD1337" i="4"/>
  <c r="AD1338" i="4"/>
  <c r="AD1339" i="4"/>
  <c r="AD1340" i="4"/>
  <c r="AD1341" i="4"/>
  <c r="AD1342" i="4"/>
  <c r="AD1343" i="4"/>
  <c r="AD1344" i="4"/>
  <c r="AD1345" i="4"/>
  <c r="AD1346" i="4"/>
  <c r="AD1347" i="4"/>
  <c r="AD1348" i="4"/>
  <c r="AD1349" i="4"/>
  <c r="AD1350" i="4"/>
  <c r="AD1351" i="4"/>
  <c r="AD1352" i="4"/>
  <c r="AD1353" i="4"/>
  <c r="AD1354" i="4"/>
  <c r="AD1355" i="4"/>
  <c r="AD1356" i="4"/>
  <c r="AD1357" i="4"/>
  <c r="AD1358" i="4"/>
  <c r="AD1359" i="4"/>
  <c r="AD1360" i="4"/>
  <c r="AD1361" i="4"/>
  <c r="AD1362" i="4"/>
  <c r="AD1363" i="4"/>
  <c r="AD1364" i="4"/>
  <c r="AD1365" i="4"/>
  <c r="AD1366" i="4"/>
  <c r="AD1367" i="4"/>
  <c r="AD1368" i="4"/>
  <c r="AD1369" i="4"/>
  <c r="AD1370" i="4"/>
  <c r="AD1371" i="4"/>
  <c r="AD1372" i="4"/>
  <c r="AD1373" i="4"/>
  <c r="AD1374" i="4"/>
  <c r="AD1375" i="4"/>
  <c r="AD1376" i="4"/>
  <c r="AD1377" i="4"/>
  <c r="AD1378" i="4"/>
  <c r="AD1379" i="4"/>
  <c r="AD1380" i="4"/>
  <c r="AD1381" i="4"/>
  <c r="AD1382" i="4"/>
  <c r="AD1383" i="4"/>
  <c r="AD1384" i="4"/>
  <c r="AD1385" i="4"/>
  <c r="AD1386" i="4"/>
  <c r="AD1387" i="4"/>
  <c r="AD1388" i="4"/>
  <c r="AD1389" i="4"/>
  <c r="AD1390" i="4"/>
  <c r="AD1391" i="4"/>
  <c r="AD1392" i="4"/>
  <c r="AD1393" i="4"/>
  <c r="AD1394" i="4"/>
  <c r="AD1395" i="4"/>
  <c r="AD1396" i="4"/>
  <c r="AD1397" i="4"/>
  <c r="AD1398" i="4"/>
  <c r="AD1399" i="4"/>
  <c r="AD1400" i="4"/>
  <c r="AD1401" i="4"/>
  <c r="AD1402" i="4"/>
  <c r="AD1403" i="4"/>
  <c r="AD1404" i="4"/>
  <c r="AD1405" i="4"/>
  <c r="AD1406" i="4"/>
  <c r="AD1407" i="4"/>
  <c r="AD1408" i="4"/>
  <c r="AD1409" i="4"/>
  <c r="AD1410" i="4"/>
  <c r="AD1411" i="4"/>
  <c r="AD1412" i="4"/>
  <c r="AD1413" i="4"/>
  <c r="AD1414" i="4"/>
  <c r="AD1415" i="4"/>
  <c r="AD1416" i="4"/>
  <c r="AD1417" i="4"/>
  <c r="AD1418" i="4"/>
  <c r="AD1419" i="4"/>
  <c r="AD1420" i="4"/>
  <c r="AD1421" i="4"/>
  <c r="AD1422" i="4"/>
  <c r="AD1423" i="4"/>
  <c r="AD1424" i="4"/>
  <c r="AD1425" i="4"/>
  <c r="AD1426" i="4"/>
  <c r="AD1427" i="4"/>
  <c r="AD1428" i="4"/>
  <c r="AD1429" i="4"/>
  <c r="AD1430" i="4"/>
  <c r="AD1431" i="4"/>
  <c r="AD1432" i="4"/>
  <c r="AD1433" i="4"/>
  <c r="AD1434" i="4"/>
  <c r="AD1435" i="4"/>
  <c r="AD1436" i="4"/>
  <c r="AD1437" i="4"/>
  <c r="AD1438" i="4"/>
  <c r="AD1439" i="4"/>
  <c r="AD1440" i="4"/>
  <c r="AD1441" i="4"/>
  <c r="AD1442" i="4"/>
  <c r="AD1443" i="4"/>
  <c r="AD1444" i="4"/>
  <c r="AD1445" i="4"/>
  <c r="AD1446" i="4"/>
  <c r="AD1447" i="4"/>
  <c r="AD1448" i="4"/>
  <c r="AD1449" i="4"/>
  <c r="AD1450" i="4"/>
  <c r="AD1451" i="4"/>
  <c r="AD1452" i="4"/>
  <c r="AD1453" i="4"/>
  <c r="AD1454" i="4"/>
  <c r="AD1455" i="4"/>
  <c r="AD1456" i="4"/>
  <c r="AD1457" i="4"/>
  <c r="AD1458" i="4"/>
  <c r="AD1459" i="4"/>
  <c r="AD1460" i="4"/>
  <c r="AD1461" i="4"/>
  <c r="AD1462" i="4"/>
  <c r="AD1463" i="4"/>
  <c r="AD1464" i="4"/>
  <c r="AD1465" i="4"/>
  <c r="AD1466" i="4"/>
  <c r="AD1467" i="4"/>
  <c r="AD1468" i="4"/>
  <c r="AD1469" i="4"/>
  <c r="AD1470" i="4"/>
  <c r="AD1471" i="4"/>
  <c r="AD1472" i="4"/>
  <c r="AD1473" i="4"/>
  <c r="AD1474" i="4"/>
  <c r="AD1475" i="4"/>
  <c r="AD1476" i="4"/>
  <c r="AD1477" i="4"/>
  <c r="AD1478" i="4"/>
  <c r="AD1479" i="4"/>
  <c r="AD1480" i="4"/>
  <c r="AD1481" i="4"/>
  <c r="AD1482" i="4"/>
  <c r="AD1483" i="4"/>
  <c r="AD1484" i="4"/>
  <c r="AD1485" i="4"/>
  <c r="AD1486" i="4"/>
  <c r="AD1487" i="4"/>
  <c r="AD1488" i="4"/>
  <c r="AD1489" i="4"/>
  <c r="AD1490" i="4"/>
  <c r="AD1491" i="4"/>
  <c r="AD1492" i="4"/>
  <c r="AD1493" i="4"/>
  <c r="AD1494" i="4"/>
  <c r="AD1495" i="4"/>
  <c r="AD1496" i="4"/>
  <c r="AD1497" i="4"/>
  <c r="AD1498" i="4"/>
  <c r="AD1499" i="4"/>
  <c r="AD1500" i="4"/>
  <c r="AD1501" i="4"/>
  <c r="AD1502" i="4"/>
  <c r="AD1503" i="4"/>
  <c r="AD1504" i="4"/>
  <c r="AD1505" i="4"/>
  <c r="AD1506" i="4"/>
  <c r="AD1507" i="4"/>
  <c r="AD1508" i="4"/>
  <c r="AD1509" i="4"/>
  <c r="AD1510" i="4"/>
  <c r="AD1511" i="4"/>
  <c r="AD1512" i="4"/>
  <c r="AD1513" i="4"/>
  <c r="AD1514" i="4"/>
  <c r="AD1515" i="4"/>
  <c r="AD1516" i="4"/>
  <c r="AD1517" i="4"/>
  <c r="AD1518" i="4"/>
  <c r="AD1519" i="4"/>
  <c r="AD1520" i="4"/>
  <c r="AD1521" i="4"/>
  <c r="AD1522" i="4"/>
  <c r="AD1523" i="4"/>
  <c r="AD1524" i="4"/>
  <c r="AD1525" i="4"/>
  <c r="AD1526" i="4"/>
  <c r="AD1527" i="4"/>
  <c r="AD1528" i="4"/>
  <c r="AD1529" i="4"/>
  <c r="AD1530" i="4"/>
  <c r="AD1531" i="4"/>
  <c r="AD1532" i="4"/>
  <c r="AD1533" i="4"/>
  <c r="AD1534" i="4"/>
  <c r="AD1535" i="4"/>
  <c r="AD1536" i="4"/>
  <c r="AD1537" i="4"/>
  <c r="AD1538" i="4"/>
  <c r="AD1539" i="4"/>
  <c r="AD1540" i="4"/>
  <c r="AD1541" i="4"/>
  <c r="AD1542" i="4"/>
  <c r="AD1543" i="4"/>
  <c r="AD1544" i="4"/>
  <c r="AD1545" i="4"/>
  <c r="AD1546" i="4"/>
  <c r="AD1547" i="4"/>
  <c r="AD1548" i="4"/>
  <c r="AD1549" i="4"/>
  <c r="AD1550" i="4"/>
  <c r="AD1551" i="4"/>
  <c r="AD1552" i="4"/>
  <c r="AD1553" i="4"/>
  <c r="AD1554" i="4"/>
  <c r="AD1555" i="4"/>
  <c r="AD1556" i="4"/>
  <c r="AD1557" i="4"/>
  <c r="AD1558" i="4"/>
  <c r="AD1559" i="4"/>
  <c r="AD1560" i="4"/>
  <c r="AD1561" i="4"/>
  <c r="AD1562" i="4"/>
  <c r="AD1563" i="4"/>
  <c r="AD1564" i="4"/>
  <c r="AD1565" i="4"/>
  <c r="AD1566" i="4"/>
  <c r="AD1567" i="4"/>
  <c r="AD1568" i="4"/>
  <c r="AD1569" i="4"/>
  <c r="AD1570" i="4"/>
  <c r="AD1571" i="4"/>
  <c r="AD1572" i="4"/>
  <c r="AD1573" i="4"/>
  <c r="AD1574" i="4"/>
  <c r="AD1575" i="4"/>
  <c r="AD1576" i="4"/>
  <c r="AD1577" i="4"/>
  <c r="AD1578" i="4"/>
  <c r="AD1579" i="4"/>
  <c r="AD1580" i="4"/>
  <c r="AD1581" i="4"/>
  <c r="AD1582" i="4"/>
  <c r="AD1583" i="4"/>
  <c r="AD1584" i="4"/>
  <c r="AD1585" i="4"/>
  <c r="AD1586" i="4"/>
  <c r="AD1587" i="4"/>
  <c r="AD1588" i="4"/>
  <c r="AD1589" i="4"/>
  <c r="AD1590" i="4"/>
  <c r="AD1591" i="4"/>
  <c r="AD1592" i="4"/>
  <c r="AD1593" i="4"/>
  <c r="AD1594" i="4"/>
  <c r="AD1595" i="4"/>
  <c r="AD1596" i="4"/>
  <c r="AD1597" i="4"/>
  <c r="AD1598" i="4"/>
  <c r="AD1599" i="4"/>
  <c r="AD1600" i="4"/>
  <c r="AD1601" i="4"/>
  <c r="AD1602" i="4"/>
  <c r="AD1603" i="4"/>
  <c r="AD1604" i="4"/>
  <c r="AD1605" i="4"/>
  <c r="AD1606" i="4"/>
  <c r="AD1607" i="4"/>
  <c r="AD1608" i="4"/>
  <c r="AD1609" i="4"/>
  <c r="AD1610" i="4"/>
  <c r="AD1611" i="4"/>
  <c r="AD1612" i="4"/>
  <c r="AD1613" i="4"/>
  <c r="AD1614" i="4"/>
  <c r="AD1615" i="4"/>
  <c r="AD1616" i="4"/>
  <c r="AD1617" i="4"/>
  <c r="AD1618" i="4"/>
  <c r="AD1619" i="4"/>
  <c r="AD1620" i="4"/>
  <c r="AD1621" i="4"/>
  <c r="AD1622" i="4"/>
  <c r="AD1623" i="4"/>
  <c r="AD1624" i="4"/>
  <c r="AD1625" i="4"/>
  <c r="AD1626" i="4"/>
  <c r="AD1627" i="4"/>
  <c r="AD1628" i="4"/>
  <c r="AD1629" i="4"/>
  <c r="AD1630" i="4"/>
  <c r="AD1631" i="4"/>
  <c r="AD1632" i="4"/>
  <c r="AD1633" i="4"/>
  <c r="AD1634" i="4"/>
  <c r="AD1635" i="4"/>
  <c r="AD1636" i="4"/>
  <c r="AD1637" i="4"/>
  <c r="AD1638" i="4"/>
  <c r="AD1639" i="4"/>
  <c r="AD1640" i="4"/>
  <c r="AD1641" i="4"/>
  <c r="AD1642" i="4"/>
  <c r="AD1643" i="4"/>
  <c r="AD1644" i="4"/>
  <c r="AD1645" i="4"/>
  <c r="AD1646" i="4"/>
  <c r="AD1647" i="4"/>
  <c r="AD1648" i="4"/>
  <c r="AD1649" i="4"/>
  <c r="AD1650" i="4"/>
  <c r="AD1651" i="4"/>
  <c r="AD1652" i="4"/>
  <c r="AD1653" i="4"/>
  <c r="AD1654" i="4"/>
  <c r="AD1655" i="4"/>
  <c r="AD1656" i="4"/>
  <c r="AD1657" i="4"/>
  <c r="AD1658" i="4"/>
  <c r="AD1659" i="4"/>
  <c r="AD1660" i="4"/>
  <c r="AD1661" i="4"/>
  <c r="AD1662" i="4"/>
  <c r="AD1663" i="4"/>
  <c r="AD1664" i="4"/>
  <c r="AD1665" i="4"/>
  <c r="AD1666" i="4"/>
  <c r="AD1667" i="4"/>
  <c r="AD1668" i="4"/>
  <c r="AD1669" i="4"/>
  <c r="AD1670" i="4"/>
  <c r="AD1671" i="4"/>
  <c r="AD1672" i="4"/>
  <c r="AD1673" i="4"/>
  <c r="AD1674" i="4"/>
  <c r="AD1675" i="4"/>
  <c r="AD1676" i="4"/>
  <c r="AD1677" i="4"/>
  <c r="AD1678" i="4"/>
  <c r="AD1679" i="4"/>
  <c r="AD1680" i="4"/>
  <c r="AD1681" i="4"/>
  <c r="AD1682" i="4"/>
  <c r="AD1683" i="4"/>
  <c r="AD1684" i="4"/>
  <c r="AD1685" i="4"/>
  <c r="AD1686" i="4"/>
  <c r="AD1687" i="4"/>
  <c r="AD1688" i="4"/>
  <c r="AD1689" i="4"/>
  <c r="AD1690" i="4"/>
  <c r="AD1691" i="4"/>
  <c r="AD1692" i="4"/>
  <c r="AD1693" i="4"/>
  <c r="AD1694" i="4"/>
  <c r="AD1695" i="4"/>
  <c r="AD1696" i="4"/>
  <c r="AD1697" i="4"/>
  <c r="AD1698" i="4"/>
  <c r="AD1699" i="4"/>
  <c r="AD1700" i="4"/>
  <c r="AD1701" i="4"/>
  <c r="AD1702" i="4"/>
  <c r="AD1703" i="4"/>
  <c r="AD1704" i="4"/>
  <c r="AD1705" i="4"/>
  <c r="AD1706" i="4"/>
  <c r="AD1707" i="4"/>
  <c r="AD1708" i="4"/>
  <c r="AD1709" i="4"/>
  <c r="AD1710" i="4"/>
  <c r="AD1711" i="4"/>
  <c r="AD1712" i="4"/>
  <c r="AD1713" i="4"/>
  <c r="AD1714" i="4"/>
  <c r="AD1715" i="4"/>
  <c r="AD1716" i="4"/>
  <c r="AD1717" i="4"/>
  <c r="AD1718" i="4"/>
  <c r="AD1719" i="4"/>
  <c r="AD1720" i="4"/>
  <c r="AD1721" i="4"/>
  <c r="AD1722" i="4"/>
  <c r="AD1723" i="4"/>
  <c r="AD1724" i="4"/>
  <c r="AD1725" i="4"/>
  <c r="AD1726" i="4"/>
  <c r="AD1727" i="4"/>
  <c r="AD1728" i="4"/>
  <c r="AD1729" i="4"/>
  <c r="AD1730" i="4"/>
  <c r="AD1731" i="4"/>
  <c r="AD1732" i="4"/>
  <c r="AD1733" i="4"/>
  <c r="AD1734" i="4"/>
  <c r="AD1735" i="4"/>
  <c r="AD1736" i="4"/>
  <c r="AD1737" i="4"/>
  <c r="AD1738" i="4"/>
  <c r="AD1739" i="4"/>
  <c r="AD1740" i="4"/>
  <c r="AD1741" i="4"/>
  <c r="AD1742" i="4"/>
  <c r="AD1743" i="4"/>
  <c r="AD1744" i="4"/>
  <c r="AD1745" i="4"/>
  <c r="AD1746" i="4"/>
  <c r="AD1747" i="4"/>
  <c r="AD1748" i="4"/>
  <c r="AD1749" i="4"/>
  <c r="AD1750" i="4"/>
  <c r="AD1751" i="4"/>
  <c r="AD1752" i="4"/>
  <c r="AD1753" i="4"/>
  <c r="AD1754" i="4"/>
  <c r="AD1755" i="4"/>
  <c r="AD1756" i="4"/>
  <c r="AD1757" i="4"/>
  <c r="AD1758" i="4"/>
  <c r="AD1759" i="4"/>
  <c r="AD1760" i="4"/>
  <c r="AD1761" i="4"/>
  <c r="AD1762" i="4"/>
  <c r="AD1763" i="4"/>
  <c r="AD1764" i="4"/>
  <c r="AD1765" i="4"/>
  <c r="AD1766" i="4"/>
  <c r="AD1767" i="4"/>
  <c r="AD1768" i="4"/>
  <c r="AD1769" i="4"/>
  <c r="AD1770" i="4"/>
  <c r="AD1771" i="4"/>
  <c r="AD1772" i="4"/>
  <c r="AD1773" i="4"/>
  <c r="AD1774" i="4"/>
  <c r="AD1775" i="4"/>
  <c r="AD1776" i="4"/>
  <c r="AD1777" i="4"/>
  <c r="AD1778" i="4"/>
  <c r="AD1779" i="4"/>
  <c r="AD1780" i="4"/>
  <c r="AD1781" i="4"/>
  <c r="AD1782" i="4"/>
  <c r="AD1783" i="4"/>
  <c r="AD1784" i="4"/>
  <c r="AD1785" i="4"/>
  <c r="AD1786" i="4"/>
  <c r="AD1787" i="4"/>
  <c r="AD1788" i="4"/>
  <c r="AD1789" i="4"/>
  <c r="AD1790" i="4"/>
  <c r="AD1791" i="4"/>
  <c r="AD1792" i="4"/>
  <c r="AD1793" i="4"/>
  <c r="AD1794" i="4"/>
  <c r="AD1795" i="4"/>
  <c r="AD1796" i="4"/>
  <c r="AD1797" i="4"/>
  <c r="AD1798" i="4"/>
  <c r="AD1799" i="4"/>
  <c r="AD1800" i="4"/>
  <c r="AD1801" i="4"/>
  <c r="AD1802" i="4"/>
  <c r="AD1803" i="4"/>
  <c r="AD1804" i="4"/>
  <c r="AD1805" i="4"/>
  <c r="AD1806" i="4"/>
  <c r="AD1807" i="4"/>
  <c r="AD1808" i="4"/>
  <c r="AD1809" i="4"/>
  <c r="AD1810" i="4"/>
  <c r="AD1811" i="4"/>
  <c r="AD1812" i="4"/>
  <c r="AD1813" i="4"/>
  <c r="AD1814" i="4"/>
  <c r="AD1815" i="4"/>
  <c r="AD1816" i="4"/>
  <c r="AD1817" i="4"/>
  <c r="AD1818" i="4"/>
  <c r="AD1819" i="4"/>
  <c r="AD1820" i="4"/>
  <c r="AD1821" i="4"/>
  <c r="AD1822" i="4"/>
  <c r="AD1823" i="4"/>
  <c r="AD1824" i="4"/>
  <c r="AD1825" i="4"/>
  <c r="AD1826" i="4"/>
  <c r="AD1827" i="4"/>
  <c r="AD1828" i="4"/>
  <c r="AD1829" i="4"/>
  <c r="AD1830" i="4"/>
  <c r="AD1831" i="4"/>
  <c r="AD1832" i="4"/>
  <c r="AD1833" i="4"/>
  <c r="AD1834" i="4"/>
  <c r="AD1835" i="4"/>
  <c r="AD1836" i="4"/>
  <c r="AD1837" i="4"/>
  <c r="AD1838" i="4"/>
  <c r="AD1839" i="4"/>
  <c r="AD1840" i="4"/>
  <c r="AD1841" i="4"/>
  <c r="AD1842" i="4"/>
  <c r="AD1843" i="4"/>
  <c r="AD1844" i="4"/>
  <c r="AD1845" i="4"/>
  <c r="AD1846" i="4"/>
  <c r="AD1847" i="4"/>
  <c r="AD1848" i="4"/>
  <c r="AD1849" i="4"/>
  <c r="AD1850" i="4"/>
  <c r="AD1851" i="4"/>
  <c r="AD1852" i="4"/>
  <c r="AD1853" i="4"/>
  <c r="AD1854" i="4"/>
  <c r="AD1855" i="4"/>
  <c r="AD1856" i="4"/>
  <c r="AD1857" i="4"/>
  <c r="AD1858" i="4"/>
  <c r="AD1859" i="4"/>
  <c r="AD1860" i="4"/>
  <c r="AD1861" i="4"/>
  <c r="AD1862" i="4"/>
  <c r="AD1863" i="4"/>
  <c r="AD1864" i="4"/>
  <c r="AD1865" i="4"/>
  <c r="AD1866" i="4"/>
  <c r="AD1867" i="4"/>
  <c r="AD1868" i="4"/>
  <c r="AD1869" i="4"/>
  <c r="AD1870" i="4"/>
  <c r="AD1871" i="4"/>
  <c r="AD1872" i="4"/>
  <c r="AD1873" i="4"/>
  <c r="AD1874" i="4"/>
  <c r="AD1875" i="4"/>
  <c r="AD1876" i="4"/>
  <c r="AD1877" i="4"/>
  <c r="AD1878" i="4"/>
  <c r="AD1879" i="4"/>
  <c r="AD1880" i="4"/>
  <c r="AD1881" i="4"/>
  <c r="AD1882" i="4"/>
  <c r="AD1883" i="4"/>
  <c r="AD1884" i="4"/>
  <c r="AD1885" i="4"/>
  <c r="AD1886" i="4"/>
  <c r="AD1887" i="4"/>
  <c r="AD1888" i="4"/>
  <c r="AD1889" i="4"/>
  <c r="AD1890" i="4"/>
  <c r="AD1891" i="4"/>
  <c r="AD1892" i="4"/>
  <c r="AD1893" i="4"/>
  <c r="AD1894" i="4"/>
  <c r="AD1895" i="4"/>
  <c r="AD1896" i="4"/>
  <c r="AD1897" i="4"/>
  <c r="AD1898" i="4"/>
  <c r="AD1899" i="4"/>
  <c r="AD1900" i="4"/>
  <c r="AD1901" i="4"/>
  <c r="AD1902" i="4"/>
  <c r="AD1903" i="4"/>
  <c r="AD1904" i="4"/>
  <c r="AD1905" i="4"/>
  <c r="AD1906" i="4"/>
  <c r="AD1907" i="4"/>
  <c r="AD1908" i="4"/>
  <c r="AD1909" i="4"/>
  <c r="AD1910" i="4"/>
  <c r="AD1911" i="4"/>
  <c r="AD1912" i="4"/>
  <c r="AD1913" i="4"/>
  <c r="AD1914" i="4"/>
  <c r="AD1915" i="4"/>
  <c r="AD1916" i="4"/>
  <c r="AD1917" i="4"/>
  <c r="AD1918" i="4"/>
  <c r="AD1919" i="4"/>
  <c r="AD1920" i="4"/>
  <c r="AD1921" i="4"/>
  <c r="AD1922" i="4"/>
  <c r="AD1923" i="4"/>
  <c r="AD1924" i="4"/>
  <c r="AD1925" i="4"/>
  <c r="AD1926" i="4"/>
  <c r="AD1927" i="4"/>
  <c r="AD1928" i="4"/>
  <c r="AD1929" i="4"/>
  <c r="AD1930" i="4"/>
  <c r="AD1931" i="4"/>
  <c r="AD1932" i="4"/>
  <c r="AD1933" i="4"/>
  <c r="AD1934" i="4"/>
  <c r="AD1935" i="4"/>
  <c r="AD1936" i="4"/>
  <c r="AD1937" i="4"/>
  <c r="AD1938" i="4"/>
  <c r="AD1939" i="4"/>
  <c r="AD1940" i="4"/>
  <c r="AD1941" i="4"/>
  <c r="AD1942" i="4"/>
  <c r="AD1943" i="4"/>
  <c r="AD1944" i="4"/>
  <c r="AD1945" i="4"/>
  <c r="AD1946" i="4"/>
  <c r="AD1947" i="4"/>
  <c r="AD1948" i="4"/>
  <c r="AD1949" i="4"/>
  <c r="AD1950" i="4"/>
  <c r="AD1951" i="4"/>
  <c r="AD1952" i="4"/>
  <c r="AD1953" i="4"/>
  <c r="AD1954" i="4"/>
  <c r="AD1955" i="4"/>
  <c r="AD1956" i="4"/>
  <c r="AD1957" i="4"/>
  <c r="AD1958" i="4"/>
  <c r="AD1959" i="4"/>
  <c r="AD1960" i="4"/>
  <c r="AD1961" i="4"/>
  <c r="AD1962" i="4"/>
  <c r="AD1963" i="4"/>
  <c r="AD1964" i="4"/>
  <c r="AD1965" i="4"/>
  <c r="AD1966" i="4"/>
  <c r="AD1967" i="4"/>
  <c r="AD1968" i="4"/>
  <c r="AD1969" i="4"/>
  <c r="AD1970" i="4"/>
  <c r="AD1971" i="4"/>
  <c r="AD1972" i="4"/>
  <c r="AD1973" i="4"/>
  <c r="AD1974" i="4"/>
  <c r="AD1975" i="4"/>
  <c r="AD1976" i="4"/>
  <c r="AD1977" i="4"/>
  <c r="AD1978" i="4"/>
  <c r="AD1979" i="4"/>
  <c r="AD1980" i="4"/>
  <c r="AD1981" i="4"/>
  <c r="AD1982" i="4"/>
  <c r="AD1983" i="4"/>
  <c r="AD1984" i="4"/>
  <c r="AD1985" i="4"/>
  <c r="AD1986" i="4"/>
  <c r="AD1987" i="4"/>
  <c r="AD1988" i="4"/>
  <c r="AD1989" i="4"/>
  <c r="AD1990" i="4"/>
  <c r="AD1991" i="4"/>
  <c r="AD1992" i="4"/>
  <c r="AD1993" i="4"/>
  <c r="AD1994" i="4"/>
  <c r="AD1995" i="4"/>
  <c r="AD1996" i="4"/>
  <c r="AD1997" i="4"/>
  <c r="AD1998" i="4"/>
  <c r="AD1999" i="4"/>
  <c r="AD2000" i="4"/>
  <c r="AD8" i="4"/>
  <c r="AF5" i="4" l="1"/>
  <c r="B19" i="1"/>
  <c r="U6" i="2"/>
  <c r="C3" i="5" l="1"/>
  <c r="G8" i="4" l="1"/>
  <c r="AF1" i="4" s="1"/>
  <c r="AF6" i="4" s="1"/>
  <c r="E4" i="4" l="1"/>
  <c r="M6" i="2"/>
  <c r="R6" i="2"/>
  <c r="A7" i="6" l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E4" i="2" l="1"/>
  <c r="B5" i="1"/>
  <c r="E3" i="1" l="1"/>
  <c r="B6" i="1"/>
  <c r="B4" i="1" l="1"/>
  <c r="B379" i="4"/>
  <c r="B25" i="4"/>
  <c r="B898" i="4"/>
  <c r="B36" i="4"/>
  <c r="B573" i="4"/>
  <c r="B904" i="4"/>
  <c r="B340" i="4"/>
  <c r="B10" i="4"/>
  <c r="B290" i="4"/>
  <c r="B514" i="4"/>
  <c r="B570" i="4"/>
  <c r="B519" i="4"/>
  <c r="B991" i="4"/>
  <c r="B524" i="4"/>
  <c r="B496" i="4"/>
  <c r="B859" i="4"/>
  <c r="B689" i="4"/>
  <c r="B285" i="4"/>
  <c r="B296" i="4"/>
  <c r="B495" i="4"/>
  <c r="B98" i="4"/>
  <c r="B754" i="4"/>
  <c r="B348" i="4"/>
  <c r="B363" i="4"/>
  <c r="B779" i="4"/>
  <c r="B34" i="4"/>
  <c r="B31" i="4"/>
  <c r="B498" i="4"/>
  <c r="B300" i="4"/>
  <c r="B937" i="4"/>
  <c r="B718" i="4"/>
  <c r="B180" i="4"/>
  <c r="B48" i="4"/>
  <c r="B299" i="4"/>
  <c r="B385" i="4"/>
  <c r="B623" i="4"/>
  <c r="B239" i="4"/>
  <c r="B544" i="4"/>
  <c r="B124" i="4"/>
  <c r="B658" i="4"/>
  <c r="B264" i="4"/>
  <c r="B636" i="4"/>
  <c r="B140" i="4"/>
  <c r="B69" i="4"/>
  <c r="B458" i="4"/>
  <c r="B46" i="4"/>
  <c r="B831" i="4"/>
  <c r="B660" i="4"/>
  <c r="B886" i="4"/>
  <c r="B641" i="4"/>
  <c r="B629" i="4"/>
  <c r="B548" i="4"/>
  <c r="B512" i="4"/>
  <c r="B209" i="4"/>
  <c r="B674" i="4"/>
  <c r="B65" i="4"/>
  <c r="B174" i="4"/>
  <c r="B160" i="4"/>
  <c r="B572" i="4"/>
  <c r="B122" i="4"/>
  <c r="B5" i="4"/>
  <c r="B872" i="4"/>
  <c r="B358" i="4"/>
  <c r="B242" i="4"/>
  <c r="B435" i="4"/>
  <c r="B143" i="4"/>
  <c r="B663" i="4"/>
  <c r="B107" i="4"/>
  <c r="B809" i="4"/>
  <c r="B301" i="4"/>
  <c r="B154" i="4"/>
  <c r="B39" i="4"/>
  <c r="B637" i="4"/>
  <c r="B749" i="4"/>
  <c r="B997" i="4"/>
  <c r="B58" i="4"/>
  <c r="B6" i="4"/>
  <c r="B518" i="4"/>
  <c r="B682" i="4"/>
  <c r="B401" i="4"/>
  <c r="B646" i="4"/>
  <c r="B692" i="4"/>
  <c r="B113" i="4"/>
  <c r="B332" i="4"/>
  <c r="B643" i="4"/>
  <c r="B861" i="4"/>
  <c r="B355" i="4"/>
  <c r="B196" i="4"/>
  <c r="B261" i="4"/>
  <c r="B166" i="4"/>
  <c r="B703" i="4"/>
  <c r="B308" i="4"/>
  <c r="B987" i="4"/>
  <c r="B957" i="4"/>
  <c r="B647" i="4"/>
  <c r="B979" i="4"/>
  <c r="B955" i="4"/>
  <c r="B650" i="4"/>
  <c r="B999" i="4"/>
  <c r="B631" i="4"/>
  <c r="B892" i="4"/>
  <c r="B819" i="4"/>
  <c r="B557" i="4"/>
  <c r="B293" i="4"/>
  <c r="B774" i="4"/>
  <c r="B499" i="4"/>
  <c r="B212" i="4"/>
  <c r="B733" i="4"/>
  <c r="B161" i="4"/>
  <c r="B200" i="4"/>
  <c r="B824" i="4"/>
  <c r="B583" i="4"/>
  <c r="B579" i="4"/>
  <c r="B137" i="4"/>
  <c r="B317" i="4"/>
  <c r="B830" i="4"/>
  <c r="B729" i="4"/>
  <c r="B797" i="4"/>
  <c r="B361" i="4"/>
  <c r="B581" i="4"/>
  <c r="B862" i="4"/>
  <c r="B207" i="4"/>
  <c r="B4" i="4"/>
  <c r="B653" i="4"/>
  <c r="B347" i="4"/>
  <c r="B984" i="4"/>
  <c r="B444" i="4"/>
  <c r="B998" i="4"/>
  <c r="B976" i="4"/>
  <c r="B409" i="4"/>
  <c r="B686" i="4"/>
  <c r="B9" i="4"/>
  <c r="B135" i="4"/>
  <c r="B159" i="4"/>
  <c r="B720" i="4"/>
  <c r="B343" i="4"/>
  <c r="B945" i="4"/>
  <c r="B90" i="4"/>
  <c r="B297" i="4"/>
  <c r="B266" i="4"/>
  <c r="B20" i="4"/>
  <c r="B853" i="4"/>
  <c r="B967" i="4"/>
  <c r="B190" i="4"/>
  <c r="B250" i="4"/>
  <c r="B685" i="4"/>
  <c r="B423" i="4"/>
  <c r="B601" i="4"/>
  <c r="B910" i="4"/>
  <c r="B808" i="4"/>
  <c r="B994" i="4"/>
  <c r="B615" i="4"/>
  <c r="B726" i="4"/>
  <c r="B259" i="4"/>
  <c r="B381" i="4"/>
  <c r="B526" i="4"/>
  <c r="B602" i="4"/>
  <c r="B331" i="4"/>
  <c r="B128" i="4"/>
  <c r="B785" i="4"/>
  <c r="B890" i="4"/>
  <c r="B918" i="4"/>
  <c r="B986" i="4"/>
  <c r="B815" i="4"/>
  <c r="B454" i="4"/>
  <c r="B605" i="4"/>
  <c r="B386" i="4"/>
  <c r="B920" i="4"/>
  <c r="B939" i="4"/>
  <c r="B761" i="4"/>
  <c r="B555" i="4"/>
  <c r="B210" i="4"/>
  <c r="B580" i="4"/>
  <c r="B915" i="4"/>
  <c r="B949" i="4"/>
  <c r="B943" i="4"/>
  <c r="B350" i="4"/>
  <c r="B287" i="4"/>
  <c r="B121" i="4"/>
  <c r="B439" i="4"/>
  <c r="B947" i="4"/>
  <c r="B367" i="4"/>
  <c r="B339" i="4"/>
  <c r="B799" i="4"/>
  <c r="B464" i="4"/>
  <c r="B803" i="4"/>
  <c r="B326" i="4"/>
  <c r="B940" i="4"/>
  <c r="B393" i="4"/>
  <c r="B614" i="4"/>
  <c r="B550" i="4"/>
  <c r="B529" i="4"/>
  <c r="B440" i="4"/>
  <c r="B792" i="4"/>
  <c r="B195" i="4"/>
  <c r="B882" i="4"/>
  <c r="B561" i="4"/>
  <c r="B925" i="4"/>
  <c r="B251" i="4"/>
  <c r="B528" i="4"/>
  <c r="B673" i="4"/>
  <c r="B909" i="4"/>
  <c r="B564" i="4"/>
  <c r="B846" i="4"/>
  <c r="B996" i="4"/>
  <c r="B671" i="4"/>
  <c r="B541" i="4"/>
  <c r="B942" i="4"/>
  <c r="B470" i="4"/>
  <c r="B841" i="4"/>
  <c r="B356" i="4"/>
  <c r="B52" i="4"/>
  <c r="B713" i="4"/>
  <c r="B702" i="4"/>
  <c r="B876" i="4"/>
  <c r="B546" i="4"/>
  <c r="B81" i="4"/>
  <c r="B776" i="4"/>
  <c r="B871" i="4"/>
  <c r="B964" i="4"/>
  <c r="B822" i="4"/>
  <c r="B337" i="4"/>
  <c r="B481" i="4"/>
  <c r="B889" i="4"/>
  <c r="B782" i="4"/>
  <c r="B593" i="4"/>
  <c r="B327" i="4"/>
  <c r="B927" i="4"/>
  <c r="B515" i="4"/>
  <c r="B37" i="4"/>
  <c r="B678" i="4"/>
  <c r="B232" i="4"/>
  <c r="B894" i="4"/>
  <c r="B325" i="4"/>
  <c r="B120" i="4"/>
  <c r="B765" i="4"/>
  <c r="B476" i="4"/>
  <c r="B354" i="4"/>
  <c r="B769" i="4"/>
  <c r="B858" i="4"/>
  <c r="B437" i="4"/>
  <c r="B525" i="4"/>
  <c r="B453" i="4"/>
  <c r="B930" i="4"/>
  <c r="B946" i="4"/>
  <c r="B656" i="4"/>
  <c r="B840" i="4"/>
  <c r="B802" i="4"/>
  <c r="B879" i="4"/>
  <c r="B711" i="4"/>
  <c r="B948" i="4"/>
  <c r="B662" i="4"/>
  <c r="B85" i="4"/>
  <c r="B842" i="4"/>
  <c r="B677" i="4"/>
  <c r="B237" i="4"/>
  <c r="B375" i="4"/>
  <c r="B962" i="4"/>
  <c r="B574" i="4"/>
  <c r="B33" i="4"/>
  <c r="B582" i="4"/>
  <c r="B146" i="4"/>
  <c r="B513" i="4"/>
  <c r="B94" i="4"/>
  <c r="B13" i="4"/>
  <c r="B727" i="4"/>
  <c r="B412" i="4"/>
  <c r="B973" i="4"/>
  <c r="B119" i="4"/>
  <c r="B793" i="4"/>
  <c r="B941" i="4"/>
  <c r="B875" i="4"/>
  <c r="B667" i="4"/>
  <c r="B763" i="4"/>
  <c r="B951" i="4"/>
  <c r="B648" i="4"/>
  <c r="B390" i="4"/>
  <c r="B739" i="4"/>
  <c r="B849" i="4"/>
  <c r="B919" i="4"/>
  <c r="B584" i="4"/>
  <c r="B18" i="4"/>
  <c r="B272" i="4"/>
  <c r="B14" i="4"/>
  <c r="B798" i="4"/>
  <c r="B482" i="4"/>
  <c r="B110" i="4"/>
  <c r="B141" i="4"/>
  <c r="B903" i="4"/>
  <c r="B938" i="4"/>
  <c r="B203" i="4"/>
  <c r="B567" i="4"/>
  <c r="B224" i="4"/>
  <c r="B914" i="4"/>
  <c r="B867" i="4"/>
  <c r="B911" i="4"/>
  <c r="B833" i="4"/>
  <c r="B762" i="4"/>
  <c r="B253" i="4"/>
  <c r="B151" i="4"/>
  <c r="B1000" i="4"/>
  <c r="B982" i="4"/>
  <c r="B100" i="4"/>
  <c r="B220" i="4"/>
  <c r="B314" i="4"/>
  <c r="B378" i="4"/>
  <c r="B609" i="4"/>
  <c r="B913" i="4"/>
  <c r="B699" i="4"/>
  <c r="B249" i="4"/>
  <c r="B659" i="4"/>
  <c r="B817" i="4"/>
  <c r="B189" i="4"/>
  <c r="B491" i="4"/>
  <c r="B134" i="4"/>
  <c r="B256" i="4"/>
  <c r="B757" i="4"/>
  <c r="B688" i="4"/>
  <c r="B736" i="4"/>
  <c r="B471" i="4"/>
  <c r="B845" i="4"/>
  <c r="B860" i="4"/>
  <c r="B985" i="4"/>
  <c r="B78" i="4"/>
  <c r="B597" i="4"/>
  <c r="B152" i="4"/>
  <c r="B836" i="4"/>
  <c r="B475" i="4"/>
  <c r="B974" i="4"/>
  <c r="B202" i="4"/>
  <c r="B404" i="4"/>
  <c r="B167" i="4"/>
  <c r="B391" i="4"/>
  <c r="B433" i="4"/>
  <c r="B714" i="4"/>
  <c r="B959" i="4"/>
  <c r="B708" i="4"/>
  <c r="B559" i="4"/>
  <c r="B334" i="4"/>
  <c r="B330" i="4"/>
  <c r="B670" i="4"/>
  <c r="B604" i="4"/>
  <c r="B127" i="4"/>
  <c r="B373" i="4"/>
  <c r="B103" i="4"/>
  <c r="B837" i="4"/>
  <c r="B125" i="4"/>
  <c r="B642" i="4"/>
  <c r="B693" i="4"/>
  <c r="B172" i="4"/>
  <c r="B912" i="4"/>
  <c r="B156" i="4"/>
  <c r="B248" i="4"/>
  <c r="B76" i="4"/>
  <c r="B923" i="4"/>
  <c r="B181" i="4"/>
  <c r="B445" i="4"/>
  <c r="B83" i="4"/>
  <c r="B968" i="4"/>
  <c r="B281" i="4"/>
  <c r="B547" i="4"/>
  <c r="B87" i="4"/>
  <c r="B767" i="4"/>
  <c r="B254" i="4"/>
  <c r="B502" i="4"/>
  <c r="B607" i="4"/>
  <c r="B27" i="4"/>
  <c r="B536" i="4"/>
  <c r="B345" i="4"/>
  <c r="B510" i="4"/>
  <c r="B576" i="4"/>
  <c r="B768" i="4"/>
  <c r="B556" i="4"/>
  <c r="B624" i="4"/>
  <c r="B447" i="4"/>
  <c r="B780" i="4"/>
  <c r="B944" i="4"/>
  <c r="B95" i="4"/>
  <c r="B408" i="4"/>
  <c r="B398" i="4"/>
  <c r="B88" i="4"/>
  <c r="B47" i="4"/>
  <c r="B54" i="4"/>
  <c r="B821" i="4"/>
  <c r="B465" i="4"/>
  <c r="B456" i="4"/>
  <c r="B142" i="4"/>
  <c r="B240" i="4"/>
  <c r="B77" i="4"/>
  <c r="B804" i="4"/>
  <c r="B972" i="4"/>
  <c r="B446" i="4"/>
  <c r="B241" i="4"/>
  <c r="B63" i="4"/>
  <c r="B405" i="4"/>
  <c r="B188" i="4"/>
  <c r="B184" i="4"/>
  <c r="B545" i="4"/>
  <c r="B869" i="4"/>
  <c r="B329" i="4"/>
  <c r="B244" i="4"/>
  <c r="B717" i="4"/>
  <c r="B50" i="4"/>
  <c r="B109" i="4"/>
  <c r="B397" i="4"/>
  <c r="B75" i="4"/>
  <c r="B357" i="4"/>
  <c r="B783" i="4"/>
  <c r="B428" i="4"/>
  <c r="B756" i="4"/>
  <c r="B377" i="4"/>
  <c r="B44" i="4"/>
  <c r="B975" i="4"/>
  <c r="B99" i="4"/>
  <c r="B298" i="4"/>
  <c r="B382" i="4"/>
  <c r="B431" i="4"/>
  <c r="B79" i="4"/>
  <c r="B933" i="4"/>
  <c r="B929" i="4"/>
  <c r="B969" i="4"/>
  <c r="B227" i="4"/>
  <c r="B744" i="4"/>
  <c r="B118" i="4"/>
  <c r="B811" i="4"/>
  <c r="B791" i="4"/>
  <c r="B954" i="4"/>
  <c r="B442" i="4"/>
  <c r="B228" i="4"/>
  <c r="B493" i="4"/>
  <c r="B474" i="4"/>
  <c r="B280" i="4"/>
  <c r="B260" i="4"/>
  <c r="B503" i="4"/>
  <c r="B716" i="4"/>
  <c r="B191" i="4"/>
  <c r="B231" i="4"/>
  <c r="B432" i="4"/>
  <c r="B977" i="4"/>
  <c r="B806" i="4"/>
  <c r="B721" i="4"/>
  <c r="B230" i="4"/>
  <c r="B847" i="4"/>
  <c r="B654" i="4"/>
  <c r="B523" i="4"/>
  <c r="B267" i="4"/>
  <c r="B157" i="4"/>
  <c r="B130" i="4"/>
  <c r="B11" i="4"/>
  <c r="B770" i="4"/>
  <c r="B364" i="4"/>
  <c r="B874" i="4"/>
  <c r="B680" i="4"/>
  <c r="B661" i="4"/>
  <c r="B419" i="4"/>
  <c r="B517" i="4"/>
  <c r="B801" i="4"/>
  <c r="B852" i="4"/>
  <c r="B338" i="4"/>
  <c r="B895" i="4"/>
  <c r="B488" i="4"/>
  <c r="B823" i="4"/>
  <c r="B501" i="4"/>
  <c r="B820" i="4"/>
  <c r="B532" i="4"/>
  <c r="B169" i="4"/>
  <c r="B695" i="4"/>
  <c r="B737" i="4"/>
  <c r="B926" i="4"/>
  <c r="B392" i="4"/>
  <c r="B243" i="4"/>
  <c r="B469" i="4"/>
  <c r="B899" i="4"/>
  <c r="B759" i="4"/>
  <c r="B132" i="4"/>
  <c r="B598" i="4"/>
  <c r="B738" i="4"/>
  <c r="B459" i="4"/>
  <c r="B839" i="4"/>
  <c r="B292" i="4"/>
  <c r="B126" i="4"/>
  <c r="B563" i="4"/>
  <c r="B369" i="4"/>
  <c r="B551" i="4"/>
  <c r="B371" i="4"/>
  <c r="B552" i="4"/>
  <c r="B978" i="4"/>
  <c r="B284" i="4"/>
  <c r="B838" i="4"/>
  <c r="B634" i="4"/>
  <c r="B773" i="4"/>
  <c r="B480" i="4"/>
  <c r="B384" i="4"/>
  <c r="B197" i="4"/>
  <c r="B868" i="4"/>
  <c r="B289" i="4"/>
  <c r="B335" i="4"/>
  <c r="B814" i="4"/>
  <c r="B750" i="4"/>
  <c r="B901" i="4"/>
  <c r="B490" i="4"/>
  <c r="B283" i="4"/>
  <c r="B216" i="4"/>
  <c r="B594" i="4"/>
  <c r="B35" i="4"/>
  <c r="B675" i="4"/>
  <c r="B775" i="4"/>
  <c r="B746" i="4"/>
  <c r="B145" i="4"/>
  <c r="B924" i="4"/>
  <c r="B388" i="4"/>
  <c r="B205" i="4"/>
  <c r="B696" i="4"/>
  <c r="B93" i="4"/>
  <c r="B883" i="4"/>
  <c r="B595" i="4"/>
  <c r="B309" i="4"/>
  <c r="B891" i="4"/>
  <c r="B694" i="4"/>
  <c r="B649" i="4"/>
  <c r="B497" i="4"/>
  <c r="B460" i="4"/>
  <c r="B158" i="4"/>
  <c r="B19" i="4"/>
  <c r="B362" i="4"/>
  <c r="B989" i="4"/>
  <c r="B450" i="4"/>
  <c r="B902" i="4"/>
  <c r="B92" i="4"/>
  <c r="B990" i="4"/>
  <c r="B533" i="4"/>
  <c r="B619" i="4"/>
  <c r="B102" i="4"/>
  <c r="B399" i="4"/>
  <c r="B185" i="4"/>
  <c r="B600" i="4"/>
  <c r="B829" i="4"/>
  <c r="B828" i="4"/>
  <c r="B278" i="4"/>
  <c r="B183" i="4"/>
  <c r="B415" i="4"/>
  <c r="B434" i="4"/>
  <c r="B549" i="4"/>
  <c r="B687" i="4"/>
  <c r="B187" i="4"/>
  <c r="B771" i="4"/>
  <c r="B588" i="4"/>
  <c r="B786" i="4"/>
  <c r="B3" i="4"/>
  <c r="B21" i="4"/>
  <c r="B112" i="4"/>
  <c r="B467" i="4"/>
  <c r="B138" i="4"/>
  <c r="B333" i="4"/>
  <c r="B952" i="4"/>
  <c r="B794" i="4"/>
  <c r="B505" i="4"/>
  <c r="B878" i="4"/>
  <c r="B492" i="4"/>
  <c r="B591" i="4"/>
  <c r="B268" i="4"/>
  <c r="B520" i="4"/>
  <c r="B17" i="4"/>
  <c r="B424" i="4"/>
  <c r="B262" i="4"/>
  <c r="B856" i="4"/>
  <c r="B86" i="4"/>
  <c r="B111" i="4"/>
  <c r="B155" i="4"/>
  <c r="B850" i="4"/>
  <c r="B438" i="4"/>
  <c r="B245" i="4"/>
  <c r="B877" i="4"/>
  <c r="B851" i="4"/>
  <c r="B611" i="4"/>
  <c r="B778" i="4"/>
  <c r="B506" i="4"/>
  <c r="B352" i="4"/>
  <c r="B295" i="4"/>
  <c r="B374" i="4"/>
  <c r="B865" i="4"/>
  <c r="B701" i="4"/>
  <c r="B730" i="4"/>
  <c r="B473" i="4"/>
  <c r="B683" i="4"/>
  <c r="B468" i="4"/>
  <c r="B617" i="4"/>
  <c r="B534" i="4"/>
  <c r="B443" i="4"/>
  <c r="B864" i="4"/>
  <c r="B980" i="4"/>
  <c r="B724" i="4"/>
  <c r="B2" i="4"/>
  <c r="B233" i="4"/>
  <c r="B199" i="4"/>
  <c r="B679" i="4"/>
  <c r="B42" i="4"/>
  <c r="B516" i="4"/>
  <c r="B194" i="4"/>
  <c r="B934" i="4"/>
  <c r="B461" i="4"/>
  <c r="B395" i="4"/>
  <c r="B402" i="4"/>
  <c r="B539" i="4"/>
  <c r="B173" i="4"/>
  <c r="B49" i="4"/>
  <c r="B751" i="4"/>
  <c r="B639" i="4"/>
  <c r="B585" i="4"/>
  <c r="B422" i="4"/>
  <c r="B854" i="4"/>
  <c r="B89" i="4"/>
  <c r="B306" i="4"/>
  <c r="B311" i="4"/>
  <c r="B908" i="4"/>
  <c r="B229" i="4"/>
  <c r="B23" i="4"/>
  <c r="B198" i="4"/>
  <c r="B324" i="4"/>
  <c r="B400" i="4"/>
  <c r="B805" i="4"/>
  <c r="B622" i="4"/>
  <c r="B521" i="4"/>
  <c r="B61" i="4"/>
  <c r="B41" i="4"/>
  <c r="B380" i="4"/>
  <c r="B351" i="4"/>
  <c r="B571" i="4"/>
  <c r="B880" i="4"/>
  <c r="B286" i="4"/>
  <c r="B425" i="4"/>
  <c r="B252" i="4"/>
  <c r="B743" i="4"/>
  <c r="B320" i="4"/>
  <c r="B463" i="4"/>
  <c r="B640" i="4"/>
  <c r="B787" i="4"/>
  <c r="B57" i="4"/>
  <c r="B542" i="4"/>
  <c r="B704" i="4"/>
  <c r="B735" i="4"/>
  <c r="B74" i="4"/>
  <c r="B511" i="4"/>
  <c r="B204" i="4"/>
  <c r="B916" i="4"/>
  <c r="B179" i="4"/>
  <c r="B72" i="4"/>
  <c r="B866" i="4"/>
  <c r="B723" i="4"/>
  <c r="B82" i="4"/>
  <c r="B171" i="4"/>
  <c r="B993" i="4"/>
  <c r="B32" i="4"/>
  <c r="B271" i="4"/>
  <c r="B147" i="4"/>
  <c r="B558" i="4"/>
  <c r="B485" i="4"/>
  <c r="B273" i="4"/>
  <c r="B789" i="4"/>
  <c r="B698" i="4"/>
  <c r="B104" i="4"/>
  <c r="B508" i="4"/>
  <c r="B935" i="4"/>
  <c r="B608" i="4"/>
  <c r="B276" i="4"/>
  <c r="B489" i="4"/>
  <c r="B177" i="4"/>
  <c r="B208" i="4"/>
  <c r="B383" i="4"/>
  <c r="B114" i="4"/>
  <c r="B353" i="4"/>
  <c r="B635" i="4"/>
  <c r="B897" i="4"/>
  <c r="B319" i="4"/>
  <c r="B218" i="4"/>
  <c r="B43" i="4"/>
  <c r="B436" i="4"/>
  <c r="B201" i="4"/>
  <c r="B462" i="4"/>
  <c r="B302" i="4"/>
  <c r="B211" i="4"/>
  <c r="B328" i="4"/>
  <c r="B274" i="4"/>
  <c r="B728" i="4"/>
  <c r="B651" i="4"/>
  <c r="B131" i="4"/>
  <c r="B97" i="4"/>
  <c r="B163" i="4"/>
  <c r="B666" i="4"/>
  <c r="B344" i="4"/>
  <c r="B616" i="4"/>
  <c r="B116" i="4"/>
  <c r="B603" i="4"/>
  <c r="B67" i="4"/>
  <c r="B834" i="4"/>
  <c r="B961" i="4"/>
  <c r="B483" i="4"/>
  <c r="B796" i="4"/>
  <c r="B589" i="4"/>
  <c r="B530" i="4"/>
  <c r="B932" i="4"/>
  <c r="B263" i="4"/>
  <c r="B123" i="4"/>
  <c r="B214" i="4"/>
  <c r="B781" i="4"/>
  <c r="B900" i="4"/>
  <c r="B950" i="4"/>
  <c r="B509" i="4"/>
  <c r="B106" i="4"/>
  <c r="B610" i="4"/>
  <c r="B29" i="4"/>
  <c r="B175" i="4"/>
  <c r="B928" i="4"/>
  <c r="B472" i="4"/>
  <c r="B275" i="4"/>
  <c r="B322" i="4"/>
  <c r="B372" i="4"/>
  <c r="B507" i="4"/>
  <c r="B742" i="4"/>
  <c r="B988" i="4"/>
  <c r="B258" i="4"/>
  <c r="B755" i="4"/>
  <c r="B732" i="4"/>
  <c r="B316" i="4"/>
  <c r="B215" i="4"/>
  <c r="B221" i="4"/>
  <c r="B294" i="4"/>
  <c r="B305" i="4"/>
  <c r="B222" i="4"/>
  <c r="B596" i="4"/>
  <c r="B238" i="4"/>
  <c r="B279" i="4"/>
  <c r="B931" i="4"/>
  <c r="B38" i="4"/>
  <c r="B129" i="4"/>
  <c r="B960" i="4"/>
  <c r="B148" i="4"/>
  <c r="B30" i="4"/>
  <c r="B406" i="4"/>
  <c r="B376" i="4"/>
  <c r="B540" i="4"/>
  <c r="B429" i="4"/>
  <c r="B562" i="4"/>
  <c r="B247" i="4"/>
  <c r="B740" i="4"/>
  <c r="B22" i="4"/>
  <c r="B225" i="4"/>
  <c r="B414" i="4"/>
  <c r="B599" i="4"/>
  <c r="B176" i="4"/>
  <c r="B665" i="4"/>
  <c r="B777" i="4"/>
  <c r="B709" i="4"/>
  <c r="B246" i="4"/>
  <c r="B745" i="4"/>
  <c r="B669" i="4"/>
  <c r="B863" i="4"/>
  <c r="B825" i="4"/>
  <c r="B193" i="4"/>
  <c r="B590" i="4"/>
  <c r="B705" i="4"/>
  <c r="B12" i="4"/>
  <c r="B53" i="4"/>
  <c r="B318" i="4"/>
  <c r="B722" i="4"/>
  <c r="B800" i="4"/>
  <c r="B303" i="4"/>
  <c r="B288" i="4"/>
  <c r="B56" i="4"/>
  <c r="B905" i="4"/>
  <c r="B983" i="4"/>
  <c r="B712" i="4"/>
  <c r="B843" i="4"/>
  <c r="B741" i="4"/>
  <c r="B500" i="4"/>
  <c r="B484" i="4"/>
  <c r="B731" i="4"/>
  <c r="B421" i="4"/>
  <c r="B568" i="4"/>
  <c r="B645" i="4"/>
  <c r="B816" i="4"/>
  <c r="B812" i="4"/>
  <c r="B921" i="4"/>
  <c r="B965" i="4"/>
  <c r="B70" i="4"/>
  <c r="B389" i="4"/>
  <c r="B387" i="4"/>
  <c r="B690" i="4"/>
  <c r="B291" i="4"/>
  <c r="B638" i="4"/>
  <c r="B321" i="4"/>
  <c r="B360" i="4"/>
  <c r="B632" i="4"/>
  <c r="B24" i="4"/>
  <c r="B764" i="4"/>
  <c r="B323" i="4"/>
  <c r="B255" i="4"/>
  <c r="B681" i="4"/>
  <c r="B170" i="4"/>
  <c r="B487" i="4"/>
  <c r="B62" i="4"/>
  <c r="B164" i="4"/>
  <c r="B139" i="4"/>
  <c r="B672" i="4"/>
  <c r="B101" i="4"/>
  <c r="B527" i="4"/>
  <c r="B312" i="4"/>
  <c r="B403" i="4"/>
  <c r="B612" i="4"/>
  <c r="B504" i="4"/>
  <c r="B182" i="4"/>
  <c r="B59" i="4"/>
  <c r="B795" i="4"/>
  <c r="B644" i="4"/>
  <c r="B537" i="4"/>
  <c r="B575" i="4"/>
  <c r="B413" i="4"/>
  <c r="B417" i="4"/>
  <c r="B84" i="4"/>
  <c r="B827" i="4"/>
  <c r="B66" i="4"/>
  <c r="B577" i="4"/>
  <c r="B359" i="4"/>
  <c r="B223" i="4"/>
  <c r="B16" i="4"/>
  <c r="B691" i="4"/>
  <c r="B855" i="4"/>
  <c r="B628" i="4"/>
  <c r="B55" i="4"/>
  <c r="B60" i="4"/>
  <c r="B766" i="4"/>
  <c r="B8" i="4"/>
  <c r="B226" i="4"/>
  <c r="B907" i="4"/>
  <c r="B936" i="4"/>
  <c r="B884" i="4"/>
  <c r="B307" i="4"/>
  <c r="B466" i="4"/>
  <c r="B51" i="4"/>
  <c r="B7" i="4"/>
  <c r="B315" i="4"/>
  <c r="B26" i="4"/>
  <c r="B788" i="4"/>
  <c r="B430" i="4"/>
  <c r="B613" i="4"/>
  <c r="B265" i="4"/>
  <c r="B416" i="4"/>
  <c r="B91" i="4"/>
  <c r="B162" i="4"/>
  <c r="B553" i="4"/>
  <c r="B535" i="4"/>
  <c r="B772" i="4"/>
  <c r="B963" i="4"/>
  <c r="B108" i="4"/>
  <c r="B676" i="4"/>
  <c r="B235" i="4"/>
  <c r="B192" i="4"/>
  <c r="B700" i="4"/>
  <c r="B457" i="4"/>
  <c r="B479" i="4"/>
  <c r="B165" i="4"/>
  <c r="B236" i="4"/>
  <c r="B115" i="4"/>
  <c r="B341" i="4"/>
  <c r="B217" i="4"/>
  <c r="B953" i="4"/>
  <c r="B826" i="4"/>
  <c r="B835" i="4"/>
  <c r="B149" i="4"/>
  <c r="B966" i="4"/>
  <c r="B790" i="4"/>
  <c r="B153" i="4"/>
  <c r="B365" i="4"/>
  <c r="B873" i="4"/>
  <c r="B565" i="4"/>
  <c r="B45" i="4"/>
  <c r="B136" i="4"/>
  <c r="B336" i="4"/>
  <c r="B531" i="4"/>
  <c r="B455" i="4"/>
  <c r="B420" i="4"/>
  <c r="B150" i="4"/>
  <c r="B697" i="4"/>
  <c r="B995" i="4"/>
  <c r="B844" i="4"/>
  <c r="B578" i="4"/>
  <c r="B213" i="4"/>
  <c r="B652" i="4"/>
  <c r="B620" i="4"/>
  <c r="B117" i="4"/>
  <c r="B71" i="4"/>
  <c r="B748" i="4"/>
  <c r="B410" i="4"/>
  <c r="B896" i="4"/>
  <c r="B906" i="4"/>
  <c r="B971" i="4"/>
  <c r="B893" i="4"/>
  <c r="B569" i="4"/>
  <c r="B747" i="4"/>
  <c r="B538" i="4"/>
  <c r="B885" i="4"/>
  <c r="B734" i="4"/>
  <c r="B958" i="4"/>
  <c r="B310" i="4"/>
  <c r="B270" i="4"/>
  <c r="B366" i="4"/>
  <c r="B633" i="4"/>
  <c r="B342" i="4"/>
  <c r="B411" i="4"/>
  <c r="B857" i="4"/>
  <c r="B668" i="4"/>
  <c r="B566" i="4"/>
  <c r="B105" i="4"/>
  <c r="B956" i="4"/>
  <c r="B522" i="4"/>
  <c r="B186" i="4"/>
  <c r="B917" i="4"/>
  <c r="B478" i="4"/>
  <c r="B449" i="4"/>
  <c r="B760" i="4"/>
  <c r="B206" i="4"/>
  <c r="B758" i="4"/>
  <c r="B64" i="4"/>
  <c r="B234" i="4"/>
  <c r="B992" i="4"/>
  <c r="B725" i="4"/>
  <c r="B80" i="4"/>
  <c r="B707" i="4"/>
  <c r="B448" i="4"/>
  <c r="B981" i="4"/>
  <c r="B73" i="4"/>
  <c r="B40" i="4"/>
  <c r="B28" i="4"/>
  <c r="B346" i="4"/>
  <c r="B887" i="4"/>
  <c r="B586" i="4"/>
  <c r="B810" i="4"/>
  <c r="B710" i="4"/>
  <c r="B970" i="4"/>
  <c r="B313" i="4"/>
  <c r="B543" i="4"/>
  <c r="B257" i="4"/>
  <c r="B784" i="4"/>
  <c r="B15" i="4"/>
  <c r="B818" i="4"/>
  <c r="B664" i="4"/>
  <c r="B848" i="4"/>
  <c r="B626" i="4"/>
  <c r="B719" i="4"/>
  <c r="B706" i="4"/>
  <c r="B881" i="4"/>
  <c r="B452" i="4"/>
  <c r="B426" i="4"/>
  <c r="B304" i="4"/>
  <c r="B368" i="4"/>
  <c r="B560" i="4"/>
  <c r="B370" i="4"/>
  <c r="B441" i="4"/>
  <c r="B888" i="4"/>
  <c r="B592" i="4"/>
  <c r="B618" i="4"/>
  <c r="B418" i="4"/>
  <c r="B715" i="4"/>
  <c r="B832" i="4"/>
  <c r="B630" i="4"/>
  <c r="B627" i="4"/>
  <c r="B96" i="4"/>
  <c r="B396" i="4"/>
  <c r="B349" i="4"/>
  <c r="B133" i="4"/>
  <c r="B625" i="4"/>
  <c r="B753" i="4"/>
  <c r="B621" i="4"/>
  <c r="B68" i="4"/>
  <c r="B282" i="4"/>
  <c r="B144" i="4"/>
  <c r="B168" i="4"/>
  <c r="B684" i="4"/>
  <c r="B277" i="4"/>
  <c r="B178" i="4"/>
  <c r="B451" i="4"/>
  <c r="B606" i="4"/>
  <c r="B494" i="4"/>
  <c r="B427" i="4"/>
  <c r="B587" i="4"/>
  <c r="B486" i="4"/>
  <c r="B807" i="4"/>
  <c r="B554" i="4"/>
  <c r="B269" i="4"/>
  <c r="B477" i="4"/>
  <c r="B655" i="4"/>
  <c r="B922" i="4"/>
  <c r="B407" i="4"/>
  <c r="B813" i="4"/>
  <c r="B219" i="4"/>
  <c r="B657" i="4"/>
  <c r="B394" i="4"/>
  <c r="B870" i="4"/>
  <c r="B75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36CC9C-F237-4791-8E8F-3DC0CFBD92E9}" keepAlive="1" name="Query - DS_canhan" description="Connection to the 'DS_canhan' query in the workbook." type="5" refreshedVersion="8" background="1" saveData="1">
    <dbPr connection="Provider=Microsoft.Mashup.OleDb.1;Data Source=$Workbook$;Location=DS_canhan;Extended Properties=&quot;&quot;" command="SELECT * FROM [DS_canhan]"/>
  </connection>
  <connection id="2" xr16:uid="{4FE5EF43-2C09-4CEC-A771-144F11D48377}" keepAlive="1" name="Query - DS_canhan (2)" description="Connection to the 'DS_canhan (2)' query in the workbook." type="5" refreshedVersion="8" background="1" saveData="1">
    <dbPr connection="Provider=Microsoft.Mashup.OleDb.1;Data Source=$Workbook$;Location=&quot;DS_canhan (2)&quot;;Extended Properties=&quot;&quot;" command="SELECT * FROM [DS_canhan (2)]"/>
  </connection>
  <connection id="3" xr16:uid="{75F45CD1-AEC9-44C8-8C51-9D9ED0EBFC7D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7C89BEF6-B9E6-44C3-88A1-3C009ABE2054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5" xr16:uid="{9BA1BA05-79F6-49D8-93CC-E801DDF8567F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BA23E5DA-BB87-4DFE-80E5-87CD7F6D6970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7" xr16:uid="{CEA4FB7F-7C66-4D65-8CF2-B9261B048AF3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84F45B2A-412F-4913-AD8D-BAA02C1A1468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0029A131-9B7F-42CF-A6E4-CDC50A224B56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D3CC164F-C5E1-451A-8DE3-37C907C8DF3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<sst xmlns="http://schemas.openxmlformats.org/spreadsheetml/2006/main" count="2059" uniqueCount="476">
  <si>
    <t>Tên máy chủ</t>
  </si>
  <si>
    <t>Tên CSDL</t>
  </si>
  <si>
    <t>ATTACH SQL</t>
  </si>
  <si>
    <t>DETACH SQL</t>
  </si>
  <si>
    <t>Quan</t>
  </si>
  <si>
    <t>Đường dẫn file CSDL</t>
  </si>
  <si>
    <t>Đường dẫn file Backup</t>
  </si>
  <si>
    <t>RESTORE SQL</t>
  </si>
  <si>
    <t>LogicalLogName</t>
  </si>
  <si>
    <t>DBNewPath</t>
  </si>
  <si>
    <t>LogNewPath</t>
  </si>
  <si>
    <t>quan.smd</t>
  </si>
  <si>
    <t>D:\Works\Projects\BaiTap1.mbk</t>
  </si>
  <si>
    <t>MISASME2015</t>
  </si>
  <si>
    <t>D:</t>
  </si>
  <si>
    <t>MISASME2015_Log</t>
  </si>
  <si>
    <t>CHẤM ĐIỂM</t>
  </si>
  <si>
    <t>Lấy số dư HTK</t>
  </si>
  <si>
    <t>Lấy số dư TSCĐ</t>
  </si>
  <si>
    <t>Lấy số dư còn lại</t>
  </si>
  <si>
    <t>CẤU HÌNH</t>
  </si>
  <si>
    <t>Lấy nghiệp vụ</t>
  </si>
  <si>
    <t>Điểm số dư HH</t>
  </si>
  <si>
    <t>Điểm nghiệp vụ</t>
  </si>
  <si>
    <t>Đường dẫn file đáp án</t>
  </si>
  <si>
    <t>Câu lệnh attach</t>
  </si>
  <si>
    <t>Câu lệnh DeTach</t>
  </si>
  <si>
    <t>Số TK</t>
  </si>
  <si>
    <t>Dư nợ</t>
  </si>
  <si>
    <t>Dư nợ Nguyên tệ</t>
  </si>
  <si>
    <t>Dư có</t>
  </si>
  <si>
    <t>Dư có Nguyên tệ</t>
  </si>
  <si>
    <t>Số lượng</t>
  </si>
  <si>
    <t>Tài khoản</t>
  </si>
  <si>
    <t>Tổng Nợ</t>
  </si>
  <si>
    <t>Tổng nợ nguyên tệ</t>
  </si>
  <si>
    <t>Đường dẫn files bài làm</t>
  </si>
  <si>
    <t>Lớp học:</t>
  </si>
  <si>
    <t>Mr Quân</t>
  </si>
  <si>
    <t>STT</t>
  </si>
  <si>
    <t>Thông tin sinh viên</t>
  </si>
  <si>
    <t>Mã sinh viên</t>
  </si>
  <si>
    <t>Họ</t>
  </si>
  <si>
    <t>Tên</t>
  </si>
  <si>
    <t>KẾT QUẢ THI</t>
  </si>
  <si>
    <t>Mã SV</t>
  </si>
  <si>
    <t>DANH SÁCH SINH VIÊN</t>
  </si>
  <si>
    <t>Câu lệnh Delete</t>
  </si>
  <si>
    <t>Đường dẫn file bài làm</t>
  </si>
  <si>
    <t>Điểm số dư hàng hóa</t>
  </si>
  <si>
    <t>Điểm số dư tài sản</t>
  </si>
  <si>
    <t>Điểm số dư tổng hợp</t>
  </si>
  <si>
    <t>Điểm</t>
  </si>
  <si>
    <t>TH_TK</t>
  </si>
  <si>
    <t>TH_DuNo</t>
  </si>
  <si>
    <t>TH_DuCo</t>
  </si>
  <si>
    <t>TH_DuNoNT</t>
  </si>
  <si>
    <t>TH_DuCoNT</t>
  </si>
  <si>
    <t>TH_SoLuong</t>
  </si>
  <si>
    <t>TK</t>
  </si>
  <si>
    <t>SoLuong</t>
  </si>
  <si>
    <t>Tổng điểm</t>
  </si>
  <si>
    <t>Môn:</t>
  </si>
  <si>
    <t>Số lượng vật tư</t>
  </si>
  <si>
    <t>Tổng số lượng</t>
  </si>
  <si>
    <t>Tổng số tiền</t>
  </si>
  <si>
    <t>Số lượng TS</t>
  </si>
  <si>
    <t>Nguyên giá</t>
  </si>
  <si>
    <t>Tổng HMLK</t>
  </si>
  <si>
    <t>TGSD - tháng</t>
  </si>
  <si>
    <t>TGSDCL - tháng</t>
  </si>
  <si>
    <t>Lớp:</t>
  </si>
  <si>
    <t>Máy chủ</t>
  </si>
  <si>
    <t>Điểm số dư tổng</t>
  </si>
  <si>
    <t>Điểm báo cáo</t>
  </si>
  <si>
    <t>Đường dẫn thư mục:</t>
  </si>
  <si>
    <t>Câu lệnh restore</t>
  </si>
  <si>
    <t>Check Database Exists</t>
  </si>
  <si>
    <t>SELECT name FROM master.dbo.sysdatabases where name = 'THAYQUAN'</t>
  </si>
  <si>
    <t>Check database Exists</t>
  </si>
  <si>
    <t>Số TT NV</t>
  </si>
  <si>
    <t>Lấy báo cáo</t>
  </si>
  <si>
    <t>SELECT  COUNT(*) as[SoLuongVT],sum(InwardQuantityBalance) as [TongSL],sum(InwardAmountBalance) as [TongST] from InventoryLedger where RefNo ='opn'</t>
  </si>
  <si>
    <t>CONNECTION STRING</t>
  </si>
  <si>
    <t>SELECT  LEFT(AccountNumber,3) as [SoTK], DebitAmount as[DuNo],DebitAmountOC as[DuNoNT],CreditAmount as[DuCo],CreditAmountOC [DuCoNT],MainQuantity as [SoLuong] from GeneralLedger where CorrespondingAccountNumber is null order by AccountNumber</t>
  </si>
  <si>
    <t>Tổng tiền</t>
  </si>
  <si>
    <t>Tổng tiền NT</t>
  </si>
  <si>
    <t>Số NV</t>
  </si>
  <si>
    <t>ReportType</t>
  </si>
  <si>
    <t>ItemCode</t>
  </si>
  <si>
    <t>Amount</t>
  </si>
  <si>
    <t>Tên database Đáp án</t>
  </si>
  <si>
    <t>Điểm số dư TS</t>
  </si>
  <si>
    <t>Files bài làm</t>
  </si>
  <si>
    <t/>
  </si>
  <si>
    <t>Điểm thi thực</t>
  </si>
  <si>
    <t>Điểm nhập theo quy chế</t>
  </si>
  <si>
    <t>GET DATABASE NAME</t>
  </si>
  <si>
    <t>SELECT name FROM master.dbo.sysdatabases where name like '%[0-9][0-9][0-9][0-9][0-9][0-9][0-9][0-9]%'</t>
  </si>
  <si>
    <t>ngothimai14102211</t>
  </si>
  <si>
    <t>SELECT  ReportType, ItemCode, Amount from FRReportDetail where amount &lt;&gt; 0 and reportType in (1,2) and FormulaType =0  order by ReportType,ItemCode</t>
  </si>
  <si>
    <t>SELECT OrgPrice as [GiaTriBanDau],DepreciationAmount ,AccumDepreciationAmount as [TongHMLK], LifeTimeInMonth,LifeTimeRemainingInMonth [TGSDCLThang] from FixedAsset where RefNo ='opn'</t>
  </si>
  <si>
    <t>Số máy làm bài</t>
  </si>
  <si>
    <t>Lấy số máy làm bài</t>
  </si>
  <si>
    <t>Phòng máy</t>
  </si>
  <si>
    <t>LogicalName</t>
  </si>
  <si>
    <t>Giá trị khấu hao</t>
  </si>
  <si>
    <t>select Day(Refdate)+Month(refdate)*100 as [TASK_ID],LEFT(AccountNumber,3) as AccountNumber,sum(debitamount-creditamount)as Amount,SUM(DebitAmountOC-CreditAmountOC) as DuNoNT, sum(case when left(AccountNumber,2)='15' or AccountNumber like '511%' then MainQuantity else 0 end) as SoLuong from generalledger where RefNo &lt;&gt;'OPN' group by  Day(Refdate)+Month(refdate)*100 ,LEFT(AccountNumber,3) having  sum(DebitAmount-CreditAmount)&lt;&gt;0 order by Day(Refdate)+Month(refdate)*100</t>
  </si>
  <si>
    <t>B15M33</t>
  </si>
  <si>
    <t xml:space="preserve">select STUFF((select distinct ComputerName from MSC_AudittingLog where ComputerName&lt;&gt;'ADMIN-D13' FOR XML PATH ('')), 1, 2, '')  </t>
  </si>
  <si>
    <t>USE master; ALTER DATABASE [&amp;D2&amp;"] SET SINGLE_USER WITH ROLLBACK IMMEDIATE; GO; EXEC sp_detach_db '"&amp;D2&amp;"', 'true';"</t>
  </si>
  <si>
    <t>T:\DHKT13C</t>
  </si>
  <si>
    <t>T:\DHKT13C\17046371.mdf</t>
  </si>
  <si>
    <t>15020901.mdf</t>
  </si>
  <si>
    <t>16060061.mdf</t>
  </si>
  <si>
    <t>17013461.mdf</t>
  </si>
  <si>
    <t>17013531.mdf</t>
  </si>
  <si>
    <t>17015101.mdf</t>
  </si>
  <si>
    <t>17017531.mdf</t>
  </si>
  <si>
    <t>17042121.mdf</t>
  </si>
  <si>
    <t>17043041.mdf</t>
  </si>
  <si>
    <t>17046371.mdf</t>
  </si>
  <si>
    <t>Lớp</t>
  </si>
  <si>
    <t>SELECT name FROM master.dbo.sysdatabases where name = 'DapAn'</t>
  </si>
  <si>
    <t>[DapAn]</t>
  </si>
  <si>
    <t>111</t>
  </si>
  <si>
    <t>112</t>
  </si>
  <si>
    <t>131</t>
  </si>
  <si>
    <t>141</t>
  </si>
  <si>
    <t>211</t>
  </si>
  <si>
    <t>214</t>
  </si>
  <si>
    <t>331</t>
  </si>
  <si>
    <t>333</t>
  </si>
  <si>
    <t>411</t>
  </si>
  <si>
    <t>421</t>
  </si>
  <si>
    <t>511</t>
  </si>
  <si>
    <t>632</t>
  </si>
  <si>
    <t>635</t>
  </si>
  <si>
    <t>133</t>
  </si>
  <si>
    <t>641</t>
  </si>
  <si>
    <t>242</t>
  </si>
  <si>
    <t>334</t>
  </si>
  <si>
    <t>338</t>
  </si>
  <si>
    <t>642</t>
  </si>
  <si>
    <t>DapAn</t>
  </si>
  <si>
    <t>1</t>
  </si>
  <si>
    <t>151</t>
  </si>
  <si>
    <t>222</t>
  </si>
  <si>
    <t>223</t>
  </si>
  <si>
    <t>311</t>
  </si>
  <si>
    <t>313</t>
  </si>
  <si>
    <t>314</t>
  </si>
  <si>
    <t>319</t>
  </si>
  <si>
    <t>411a</t>
  </si>
  <si>
    <t>421b</t>
  </si>
  <si>
    <t>421a</t>
  </si>
  <si>
    <t>B17</t>
  </si>
  <si>
    <t>An</t>
  </si>
  <si>
    <t>Anh</t>
  </si>
  <si>
    <t>Hiền</t>
  </si>
  <si>
    <t>Hương</t>
  </si>
  <si>
    <t>Nguyễn Thị</t>
  </si>
  <si>
    <t>Linh</t>
  </si>
  <si>
    <t>Ngân</t>
  </si>
  <si>
    <t>Nhi</t>
  </si>
  <si>
    <t>Như</t>
  </si>
  <si>
    <t>Phương</t>
  </si>
  <si>
    <t>Thảo</t>
  </si>
  <si>
    <t>Nguyễn Thị Thanh</t>
  </si>
  <si>
    <t>Tiên</t>
  </si>
  <si>
    <t>Trân</t>
  </si>
  <si>
    <t>Nguyễn Thị Thùy</t>
  </si>
  <si>
    <t>Trang</t>
  </si>
  <si>
    <t>Vân</t>
  </si>
  <si>
    <t>Vy</t>
  </si>
  <si>
    <t>Ý</t>
  </si>
  <si>
    <t>Huyền</t>
  </si>
  <si>
    <t>Ly</t>
  </si>
  <si>
    <t>Quỳnh</t>
  </si>
  <si>
    <t>Nguyễn Ngọc</t>
  </si>
  <si>
    <t>Trâm</t>
  </si>
  <si>
    <t>Duy</t>
  </si>
  <si>
    <t>Nguyễn Thị Thu</t>
  </si>
  <si>
    <t>Lê Ngọc</t>
  </si>
  <si>
    <t>Dung</t>
  </si>
  <si>
    <t>Giang</t>
  </si>
  <si>
    <t>Thùy</t>
  </si>
  <si>
    <t>Lê Quỳnh</t>
  </si>
  <si>
    <t>Trần Thanh</t>
  </si>
  <si>
    <t>156</t>
  </si>
  <si>
    <t>2</t>
  </si>
  <si>
    <t>01</t>
  </si>
  <si>
    <t>11</t>
  </si>
  <si>
    <t>22</t>
  </si>
  <si>
    <t>25</t>
  </si>
  <si>
    <t>26</t>
  </si>
  <si>
    <t>BTN2023</t>
  </si>
  <si>
    <t>Test</t>
  </si>
  <si>
    <t>DHKT17BTT</t>
  </si>
  <si>
    <t>DHKT17C</t>
  </si>
  <si>
    <t>Flames</t>
  </si>
  <si>
    <t>Higirl</t>
  </si>
  <si>
    <t>DHKT17CTT</t>
  </si>
  <si>
    <t>DHKTKT17A</t>
  </si>
  <si>
    <t>9conbaothu</t>
  </si>
  <si>
    <t>conheobietbay</t>
  </si>
  <si>
    <t>doanket</t>
  </si>
  <si>
    <t>nhom9999</t>
  </si>
  <si>
    <t>nhomtam</t>
  </si>
  <si>
    <t>sauanhemsiunhan</t>
  </si>
  <si>
    <t>DHKTKT17C</t>
  </si>
  <si>
    <t>DHKT17B</t>
  </si>
  <si>
    <t>DHKTKT17ATT</t>
  </si>
  <si>
    <t>DHKTKT17BTT</t>
  </si>
  <si>
    <t>DHKT17ATT</t>
  </si>
  <si>
    <t>DHKT17E</t>
  </si>
  <si>
    <t>DHKT17F</t>
  </si>
  <si>
    <t>DHKT17G</t>
  </si>
  <si>
    <t>DHKT17A</t>
  </si>
  <si>
    <t>DHKTKT17D</t>
  </si>
  <si>
    <t>DHKT17DTT</t>
  </si>
  <si>
    <t>DHKTKT17B</t>
  </si>
  <si>
    <t>DHKT17D</t>
  </si>
  <si>
    <t>Mã số</t>
  </si>
  <si>
    <t>Họ đệm</t>
  </si>
  <si>
    <t>Tạo CSDL</t>
  </si>
  <si>
    <t>Đổi thông tin</t>
  </si>
  <si>
    <t>Take offline</t>
  </si>
  <si>
    <t>Bring online</t>
  </si>
  <si>
    <t>lấy tên đăng nhập</t>
  </si>
  <si>
    <t>Gỡ database</t>
  </si>
  <si>
    <t>Xóa database</t>
  </si>
  <si>
    <t>Nguyễn Thị Uyển</t>
  </si>
  <si>
    <t>22670151</t>
  </si>
  <si>
    <t>Nguyễn Anh</t>
  </si>
  <si>
    <t>20121301</t>
  </si>
  <si>
    <t>Đinh Thị Phương</t>
  </si>
  <si>
    <t>20048621</t>
  </si>
  <si>
    <t>Nguyễn Thị Diệu</t>
  </si>
  <si>
    <t>22668961</t>
  </si>
  <si>
    <t>Võ Tuyết</t>
  </si>
  <si>
    <t>22657811</t>
  </si>
  <si>
    <t>Lê Thị Ngọc</t>
  </si>
  <si>
    <t>Ánh</t>
  </si>
  <si>
    <t>22682661</t>
  </si>
  <si>
    <t>Nông Thị Ngọc</t>
  </si>
  <si>
    <t>Châm</t>
  </si>
  <si>
    <t>21082391</t>
  </si>
  <si>
    <t>Phan Nguyễn Tiến</t>
  </si>
  <si>
    <t>Đạt</t>
  </si>
  <si>
    <t>22705041</t>
  </si>
  <si>
    <t>Võ Thành</t>
  </si>
  <si>
    <t>20039311</t>
  </si>
  <si>
    <t>Nguyễn Thị Thuỳ</t>
  </si>
  <si>
    <t>21082981</t>
  </si>
  <si>
    <t>22685951</t>
  </si>
  <si>
    <t>Phạm Thị Thúy</t>
  </si>
  <si>
    <t>22705321</t>
  </si>
  <si>
    <t>Nguyễn Trà</t>
  </si>
  <si>
    <t>22670511</t>
  </si>
  <si>
    <t>Hà</t>
  </si>
  <si>
    <t>22641331</t>
  </si>
  <si>
    <t>Bùi Thị Mỹ</t>
  </si>
  <si>
    <t>Hằng</t>
  </si>
  <si>
    <t>21038811</t>
  </si>
  <si>
    <t>22689051</t>
  </si>
  <si>
    <t>Hoa</t>
  </si>
  <si>
    <t>20033191</t>
  </si>
  <si>
    <t>Nguyễn Khánh</t>
  </si>
  <si>
    <t>Hòa</t>
  </si>
  <si>
    <t>20001625</t>
  </si>
  <si>
    <t>Lê Thị Mai</t>
  </si>
  <si>
    <t>20074081</t>
  </si>
  <si>
    <t>Vũ Hòa</t>
  </si>
  <si>
    <t>22685171</t>
  </si>
  <si>
    <t>Phạm Đăng</t>
  </si>
  <si>
    <t>Khoa</t>
  </si>
  <si>
    <t>22692761</t>
  </si>
  <si>
    <t>Ngô Gia</t>
  </si>
  <si>
    <t>Khương</t>
  </si>
  <si>
    <t>22666291</t>
  </si>
  <si>
    <t>Lê Bùi Diệu</t>
  </si>
  <si>
    <t>22632061</t>
  </si>
  <si>
    <t>22639801</t>
  </si>
  <si>
    <t>Hồ Thị Cẩm</t>
  </si>
  <si>
    <t>21076821</t>
  </si>
  <si>
    <t>Võ Thị Phương</t>
  </si>
  <si>
    <t>Mai</t>
  </si>
  <si>
    <t>22643921</t>
  </si>
  <si>
    <t>Phan Thị Diễm</t>
  </si>
  <si>
    <t>Mi</t>
  </si>
  <si>
    <t>22643581</t>
  </si>
  <si>
    <t>Nguyễn Hồ Kiều</t>
  </si>
  <si>
    <t>My</t>
  </si>
  <si>
    <t>20060711</t>
  </si>
  <si>
    <t>Đặng Kim</t>
  </si>
  <si>
    <t>22636541</t>
  </si>
  <si>
    <t>Đỗ Kim</t>
  </si>
  <si>
    <t>22632851</t>
  </si>
  <si>
    <t>Lê Thị Thanh</t>
  </si>
  <si>
    <t>22676061</t>
  </si>
  <si>
    <t>Nguyễn Thanh</t>
  </si>
  <si>
    <t>22706301</t>
  </si>
  <si>
    <t>Trần Huỳnh Ái</t>
  </si>
  <si>
    <t>22633481</t>
  </si>
  <si>
    <t>Trần Huỳnh Bảo</t>
  </si>
  <si>
    <t>Nghi</t>
  </si>
  <si>
    <t>22634661</t>
  </si>
  <si>
    <t>Nguyễn Cảnh</t>
  </si>
  <si>
    <t>Nguyệt</t>
  </si>
  <si>
    <t>21041511</t>
  </si>
  <si>
    <t>22644891</t>
  </si>
  <si>
    <t>Châu Thị Bích</t>
  </si>
  <si>
    <t>22647321</t>
  </si>
  <si>
    <t>Lại Thị Yến</t>
  </si>
  <si>
    <t>20077611</t>
  </si>
  <si>
    <t>Nguyễn Hồ Yến</t>
  </si>
  <si>
    <t>21083081</t>
  </si>
  <si>
    <t>Nguyễn Ngọc Yến</t>
  </si>
  <si>
    <t>21002765</t>
  </si>
  <si>
    <t>21068131</t>
  </si>
  <si>
    <t>22706841</t>
  </si>
  <si>
    <t>Huỳnh</t>
  </si>
  <si>
    <t>22642271</t>
  </si>
  <si>
    <t>Trần Thị Quỳnh</t>
  </si>
  <si>
    <t>21070441</t>
  </si>
  <si>
    <t>Lê Thị Diệu</t>
  </si>
  <si>
    <t>22665471</t>
  </si>
  <si>
    <t>Quang</t>
  </si>
  <si>
    <t>22683981</t>
  </si>
  <si>
    <t>Bùi Ngoc</t>
  </si>
  <si>
    <t>22663881</t>
  </si>
  <si>
    <t>Đào Thị Như</t>
  </si>
  <si>
    <t>21069781</t>
  </si>
  <si>
    <t>Hồ Nguyễn Bảo</t>
  </si>
  <si>
    <t>22636531</t>
  </si>
  <si>
    <t>Nguyễn Ngọc Như</t>
  </si>
  <si>
    <t>20095441</t>
  </si>
  <si>
    <t>Trịnh Thị Hương</t>
  </si>
  <si>
    <t>22681561</t>
  </si>
  <si>
    <t>Huỳnh Thị Minh</t>
  </si>
  <si>
    <t>Tâm</t>
  </si>
  <si>
    <t>20081841</t>
  </si>
  <si>
    <t>Hồ Việt</t>
  </si>
  <si>
    <t>Tân</t>
  </si>
  <si>
    <t>21031021</t>
  </si>
  <si>
    <t>Huỳnh Lê Phương</t>
  </si>
  <si>
    <t>Thanh</t>
  </si>
  <si>
    <t>22690791</t>
  </si>
  <si>
    <t>Lê Nguyễn Quang</t>
  </si>
  <si>
    <t>Thành</t>
  </si>
  <si>
    <t>22694011</t>
  </si>
  <si>
    <t>Bùi Thị</t>
  </si>
  <si>
    <t>22683351</t>
  </si>
  <si>
    <t>Thuý</t>
  </si>
  <si>
    <t>22706631</t>
  </si>
  <si>
    <t>Nguyễn Anh Phương</t>
  </si>
  <si>
    <t>22649521</t>
  </si>
  <si>
    <t>Phạm Ngọc Phương</t>
  </si>
  <si>
    <t>22704531</t>
  </si>
  <si>
    <t>Bùi Mỹ</t>
  </si>
  <si>
    <t>22642421</t>
  </si>
  <si>
    <t>Lê Cẩm</t>
  </si>
  <si>
    <t>22668371</t>
  </si>
  <si>
    <t>22651781</t>
  </si>
  <si>
    <t>Phan Ngọc Bảo</t>
  </si>
  <si>
    <t>22689781</t>
  </si>
  <si>
    <t>22633051</t>
  </si>
  <si>
    <t>Nguyễn Ngọc Quỳnh</t>
  </si>
  <si>
    <t>21000265</t>
  </si>
  <si>
    <t>Nguyễn Thị Huyền</t>
  </si>
  <si>
    <t>22686701</t>
  </si>
  <si>
    <t>Giang Thanh</t>
  </si>
  <si>
    <t>Trúc</t>
  </si>
  <si>
    <t>21111861</t>
  </si>
  <si>
    <t>Hoàng Văn</t>
  </si>
  <si>
    <t>Tường</t>
  </si>
  <si>
    <t>21039061</t>
  </si>
  <si>
    <t>21003785</t>
  </si>
  <si>
    <t>Vinh</t>
  </si>
  <si>
    <t>21048651</t>
  </si>
  <si>
    <t>Phan Tuấn</t>
  </si>
  <si>
    <t>Vũ</t>
  </si>
  <si>
    <t>22673321</t>
  </si>
  <si>
    <t>Nguyễn Hoàng Yến</t>
  </si>
  <si>
    <t>22681621</t>
  </si>
  <si>
    <t>Nguyễn Thị Yến</t>
  </si>
  <si>
    <t>21036971</t>
  </si>
  <si>
    <t>Nguyễn Hữu</t>
  </si>
  <si>
    <t>DHKTKT18A</t>
  </si>
  <si>
    <t>21069221</t>
  </si>
  <si>
    <t>Trương Kiều</t>
  </si>
  <si>
    <t>C:\Data\MISA Data\MC22\DapAn.smd</t>
  </si>
  <si>
    <t>157</t>
  </si>
  <si>
    <t>353</t>
  </si>
  <si>
    <t>241</t>
  </si>
  <si>
    <t>213</t>
  </si>
  <si>
    <t>212</t>
  </si>
  <si>
    <t>228</t>
  </si>
  <si>
    <t>229</t>
  </si>
  <si>
    <t>312</t>
  </si>
  <si>
    <t>322</t>
  </si>
  <si>
    <t>332</t>
  </si>
  <si>
    <t>TTMP,12\TH</t>
  </si>
  <si>
    <t>Điểm số dư đầu kỳ</t>
  </si>
  <si>
    <t>ALTER DATABASE [23664301] SET ONLINE</t>
  </si>
  <si>
    <t>ALTER DATABASE [23638391] SET ONLINE</t>
  </si>
  <si>
    <t>ALTER DATABASE [23710081] SET ONLINE</t>
  </si>
  <si>
    <t>ALTER DATABASE [23713561] SET ONLINE</t>
  </si>
  <si>
    <t>ALTER DATABASE [22719421] SET ONLINE</t>
  </si>
  <si>
    <t>ALTER DATABASE [23672271] SET ONLINE</t>
  </si>
  <si>
    <t>ALTER DATABASE [23714871] SET ONLINE</t>
  </si>
  <si>
    <t>ALTER DATABASE [22725841] SET ONLINE</t>
  </si>
  <si>
    <t>ALTER DATABASE [23645491] SET ONLINE</t>
  </si>
  <si>
    <t>ALTER DATABASE [21072151] SET ONLINE</t>
  </si>
  <si>
    <t>ALTER DATABASE [23679251] SET ONLINE</t>
  </si>
  <si>
    <t>ALTER DATABASE [23632921] SET ONLINE</t>
  </si>
  <si>
    <t>ALTER DATABASE [22647741] SET ONLINE</t>
  </si>
  <si>
    <t>ALTER DATABASE [21067381] SET ONLINE</t>
  </si>
  <si>
    <t>ALTER DATABASE [23699121] SET ONLINE</t>
  </si>
  <si>
    <t>ALTER DATABASE [22640611] SET ONLINE</t>
  </si>
  <si>
    <t>ALTER DATABASE [23716271] SET ONLINE</t>
  </si>
  <si>
    <t>ALTER DATABASE [23641641] SET ONLINE</t>
  </si>
  <si>
    <t>ALTER DATABASE [23630541] SET ONLINE</t>
  </si>
  <si>
    <t>ALTER DATABASE [23642681] SET ONLINE</t>
  </si>
  <si>
    <t>ALTER DATABASE [21007961] SET ONLINE</t>
  </si>
  <si>
    <t>ALTER DATABASE [23643911] SET ONLINE</t>
  </si>
  <si>
    <t>ALTER DATABASE [23732021] SET ONLINE</t>
  </si>
  <si>
    <t>ALTER DATABASE [23637041] SET ONLINE</t>
  </si>
  <si>
    <t>ALTER DATABASE [23724591] SET ONLINE</t>
  </si>
  <si>
    <t>ALTER DATABASE [23735901] SET ONLINE</t>
  </si>
  <si>
    <t>ALTER DATABASE [21007471] SET ONLINE</t>
  </si>
  <si>
    <t>ALTER DATABASE [23647141] SET ONLINE</t>
  </si>
  <si>
    <t>ALTER DATABASE [23633381] SET ONLINE</t>
  </si>
  <si>
    <t>ALTER DATABASE [23637031] SET ONLINE</t>
  </si>
  <si>
    <t>ALTER DATABASE [23646261] SET ONLINE</t>
  </si>
  <si>
    <t>ALTER DATABASE [23732351] SET ONLINE</t>
  </si>
  <si>
    <t>ALTER DATABASE [23648891] SET ONLINE</t>
  </si>
  <si>
    <t>ALTER DATABASE [23637541] SET ONLINE</t>
  </si>
  <si>
    <t>24001231</t>
  </si>
  <si>
    <t>24002331</t>
  </si>
  <si>
    <t>24000221</t>
  </si>
  <si>
    <t>24001241</t>
  </si>
  <si>
    <t>24001071</t>
  </si>
  <si>
    <t>24002401</t>
  </si>
  <si>
    <t>24000441</t>
  </si>
  <si>
    <t>24000461</t>
  </si>
  <si>
    <t>24002791</t>
  </si>
  <si>
    <t>24000701</t>
  </si>
  <si>
    <t>24000431</t>
  </si>
  <si>
    <t>24000151</t>
  </si>
  <si>
    <t>24001881</t>
  </si>
  <si>
    <t>24002551</t>
  </si>
  <si>
    <t>24000061</t>
  </si>
  <si>
    <t>24002081</t>
  </si>
  <si>
    <t>24000931</t>
  </si>
  <si>
    <t>24001221</t>
  </si>
  <si>
    <t>24001821</t>
  </si>
  <si>
    <t>24000541</t>
  </si>
  <si>
    <t>24001921</t>
  </si>
  <si>
    <t>24001791</t>
  </si>
  <si>
    <t>24002211</t>
  </si>
  <si>
    <t>24002741</t>
  </si>
  <si>
    <t>23001411</t>
  </si>
  <si>
    <t>24001931</t>
  </si>
  <si>
    <t>24001701</t>
  </si>
  <si>
    <t>24000241</t>
  </si>
  <si>
    <t>23002221</t>
  </si>
  <si>
    <t>24002291</t>
  </si>
  <si>
    <t>24000581</t>
  </si>
  <si>
    <t>24002891</t>
  </si>
  <si>
    <t>24002201</t>
  </si>
  <si>
    <t>24003631</t>
  </si>
  <si>
    <t>23729351</t>
  </si>
  <si>
    <t>Phan Hữu</t>
  </si>
  <si>
    <t>Thoại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</si>
</sst>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00;;;"/>
    <numFmt numFmtId="165" formatCode="#,###.0;;"/>
  </numFmts>
  <fonts count="21" x14ac:knownFonts="1">
    <font>
      <sz val="11"/>
      <color theme="1"/>
      <name val="Calibri"/>
      <family val="2"/>
      <charset val="163"/>
      <scheme val="minor"/>
    </font>
    <font>
      <sz val="13"/>
      <color theme="1"/>
      <name val="Palatino Linotype"/>
      <family val="1"/>
    </font>
    <font>
      <b/>
      <sz val="13"/>
      <color rgb="FF0000FF"/>
      <name val="Palatino Linotype"/>
      <family val="1"/>
    </font>
    <font>
      <b/>
      <sz val="16"/>
      <color rgb="FFFF0000"/>
      <name val="Palatino Linotype"/>
      <family val="1"/>
    </font>
    <font>
      <sz val="11"/>
      <color theme="1"/>
      <name val="Palatino Linotype"/>
      <family val="1"/>
    </font>
    <font>
      <sz val="14"/>
      <color theme="1"/>
      <name val="Palatino Linotype"/>
      <family val="1"/>
    </font>
    <font>
      <b/>
      <sz val="14"/>
      <color rgb="FF0000FF"/>
      <name val="Palatino Linotype"/>
      <family val="1"/>
    </font>
    <font>
      <sz val="11"/>
      <color indexed="8"/>
      <name val="Calibri"/>
      <family val="2"/>
    </font>
    <font>
      <b/>
      <sz val="18"/>
      <color indexed="8"/>
      <name val="Palatino Linotype"/>
      <family val="1"/>
    </font>
    <font>
      <b/>
      <sz val="12"/>
      <color indexed="8"/>
      <name val="Palatino Linotype"/>
      <family val="1"/>
    </font>
    <font>
      <sz val="12"/>
      <color indexed="8"/>
      <name val="Palatino Linotype"/>
      <family val="1"/>
    </font>
    <font>
      <sz val="11.5"/>
      <color indexed="8"/>
      <name val="Palatino Linotype"/>
      <family val="1"/>
    </font>
    <font>
      <b/>
      <i/>
      <sz val="12"/>
      <color indexed="8"/>
      <name val="Palatino Linotype"/>
      <family val="1"/>
    </font>
    <font>
      <b/>
      <sz val="13"/>
      <color theme="1"/>
      <name val="Palatino Linotype"/>
      <family val="1"/>
    </font>
    <font>
      <b/>
      <sz val="14"/>
      <color rgb="FFFF0000"/>
      <name val="Palatino Linotype"/>
      <family val="1"/>
    </font>
    <font>
      <b/>
      <sz val="13"/>
      <color rgb="FF0000FF"/>
      <name val="Palatino Linotype"/>
      <family val="1"/>
      <charset val="163"/>
    </font>
    <font>
      <b/>
      <sz val="12"/>
      <color rgb="FF0000FF"/>
      <name val="Palatino Linotype"/>
      <family val="1"/>
    </font>
    <font>
      <sz val="11"/>
      <color rgb="FF000000"/>
      <name val="Calibri"/>
      <family val="2"/>
    </font>
    <font>
      <b/>
      <sz val="11"/>
      <color rgb="FF0000FF"/>
      <name val="Palatino Linotype"/>
      <family val="1"/>
    </font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43" fontId="19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3" fillId="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6" fillId="3" borderId="1" xfId="0" applyFont="1" applyFill="1" applyBorder="1"/>
    <xf numFmtId="0" fontId="5" fillId="3" borderId="1" xfId="0" applyFont="1" applyFill="1" applyBorder="1"/>
    <xf numFmtId="0" fontId="5" fillId="3" borderId="0" xfId="0" applyFont="1" applyFill="1"/>
    <xf numFmtId="0" fontId="5" fillId="8" borderId="0" xfId="0" applyFont="1" applyFill="1"/>
    <xf numFmtId="0" fontId="5" fillId="9" borderId="0" xfId="0" applyFont="1" applyFill="1"/>
    <xf numFmtId="0" fontId="5" fillId="7" borderId="0" xfId="0" applyFont="1" applyFill="1"/>
    <xf numFmtId="0" fontId="5" fillId="10" borderId="0" xfId="0" applyFont="1" applyFill="1"/>
    <xf numFmtId="3" fontId="5" fillId="0" borderId="0" xfId="0" applyNumberFormat="1" applyFont="1"/>
    <xf numFmtId="0" fontId="5" fillId="4" borderId="0" xfId="0" applyFont="1" applyFill="1"/>
    <xf numFmtId="0" fontId="5" fillId="6" borderId="0" xfId="0" applyFont="1" applyFill="1"/>
    <xf numFmtId="0" fontId="10" fillId="0" borderId="0" xfId="0" applyFont="1" applyAlignment="1">
      <alignment horizontal="left" vertical="center"/>
    </xf>
    <xf numFmtId="0" fontId="10" fillId="0" borderId="0" xfId="0" applyFont="1"/>
    <xf numFmtId="0" fontId="9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10" fillId="11" borderId="1" xfId="0" applyFont="1" applyFill="1" applyBorder="1" applyAlignment="1">
      <alignment horizontal="left" vertical="center"/>
    </xf>
    <xf numFmtId="0" fontId="5" fillId="12" borderId="0" xfId="0" applyFont="1" applyFill="1"/>
    <xf numFmtId="0" fontId="1" fillId="0" borderId="1" xfId="0" applyFont="1" applyBorder="1"/>
    <xf numFmtId="164" fontId="1" fillId="0" borderId="1" xfId="0" applyNumberFormat="1" applyFont="1" applyBorder="1"/>
    <xf numFmtId="49" fontId="1" fillId="0" borderId="0" xfId="0" applyNumberFormat="1" applyFont="1"/>
    <xf numFmtId="164" fontId="10" fillId="11" borderId="4" xfId="0" applyNumberFormat="1" applyFont="1" applyFill="1" applyBorder="1" applyAlignment="1">
      <alignment horizontal="center" vertical="center"/>
    </xf>
    <xf numFmtId="0" fontId="14" fillId="0" borderId="0" xfId="0" applyFont="1"/>
    <xf numFmtId="0" fontId="5" fillId="0" borderId="0" xfId="0" quotePrefix="1" applyFont="1"/>
    <xf numFmtId="0" fontId="13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9" fillId="0" borderId="0" xfId="0" applyFont="1" applyAlignment="1">
      <alignment horizontal="left" vertical="center"/>
    </xf>
    <xf numFmtId="49" fontId="15" fillId="13" borderId="1" xfId="0" applyNumberFormat="1" applyFont="1" applyFill="1" applyBorder="1" applyAlignment="1">
      <alignment horizontal="center"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5" fillId="14" borderId="0" xfId="0" applyFont="1" applyFill="1"/>
    <xf numFmtId="165" fontId="4" fillId="0" borderId="1" xfId="0" applyNumberFormat="1" applyFont="1" applyBorder="1"/>
    <xf numFmtId="0" fontId="16" fillId="3" borderId="5" xfId="0" applyFont="1" applyFill="1" applyBorder="1" applyAlignment="1">
      <alignment horizontal="center" vertical="center" wrapText="1"/>
    </xf>
    <xf numFmtId="0" fontId="4" fillId="3" borderId="0" xfId="0" applyFont="1" applyFill="1"/>
    <xf numFmtId="0" fontId="10" fillId="0" borderId="1" xfId="0" applyFont="1" applyBorder="1" applyAlignment="1">
      <alignment horizontal="left" vertical="center"/>
    </xf>
    <xf numFmtId="0" fontId="11" fillId="0" borderId="1" xfId="0" quotePrefix="1" applyFont="1" applyBorder="1" applyAlignment="1">
      <alignment horizontal="center" vertical="center"/>
    </xf>
    <xf numFmtId="0" fontId="5" fillId="0" borderId="0" xfId="3" applyNumberFormat="1" applyFont="1"/>
    <xf numFmtId="0" fontId="16" fillId="3" borderId="5" xfId="0" applyFont="1" applyFill="1" applyBorder="1" applyAlignment="1">
      <alignment horizontal="left" vertical="center" wrapText="1"/>
    </xf>
    <xf numFmtId="0" fontId="10" fillId="11" borderId="1" xfId="0" quotePrefix="1" applyFont="1" applyFill="1" applyBorder="1" applyAlignment="1">
      <alignment horizontal="left" vertical="center"/>
    </xf>
    <xf numFmtId="0" fontId="10" fillId="0" borderId="1" xfId="0" quotePrefix="1" applyFont="1" applyBorder="1" applyAlignment="1">
      <alignment horizontal="left" vertical="center"/>
    </xf>
    <xf numFmtId="0" fontId="10" fillId="11" borderId="1" xfId="2" quotePrefix="1" applyFont="1" applyFill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quotePrefix="1" applyFont="1" applyAlignment="1">
      <alignment horizontal="left"/>
    </xf>
    <xf numFmtId="49" fontId="0" fillId="0" borderId="0" xfId="0" applyNumberFormat="1"/>
    <xf numFmtId="49" fontId="0" fillId="0" borderId="0" xfId="0" quotePrefix="1" applyNumberFormat="1"/>
    <xf numFmtId="0" fontId="15" fillId="13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6" fillId="3" borderId="6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8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16" fillId="3" borderId="11" xfId="0" applyFont="1" applyFill="1" applyBorder="1" applyAlignment="1">
      <alignment horizontal="center" vertical="center" wrapText="1"/>
    </xf>
    <xf numFmtId="0" fontId="16" fillId="3" borderId="1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0" fillId="11" borderId="0" xfId="1" applyFont="1" applyFill="1" applyAlignment="1">
      <alignment horizontal="center" vertical="center"/>
    </xf>
    <xf numFmtId="0" fontId="12" fillId="11" borderId="0" xfId="1" applyFont="1" applyFill="1" applyAlignment="1">
      <alignment horizontal="left" vertical="center"/>
    </xf>
    <xf numFmtId="0" fontId="16" fillId="3" borderId="7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 wrapText="1"/>
    </xf>
  </cellXfs>
  <cellStyles count="4">
    <cellStyle name="Comma" xfId="3" builtinId="3"/>
    <cellStyle name="Normal" xfId="0" builtinId="0"/>
    <cellStyle name="Normal 2" xfId="2" xr:uid="{00000000-0005-0000-0000-000001000000}"/>
    <cellStyle name="Normal_Sheet1" xfId="1" xr:uid="{00000000-0005-0000-0000-000002000000}"/>
  </cellStyles>
  <dxfs count="2"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200025</xdr:colOff>
          <xdr:row>1</xdr:row>
          <xdr:rowOff>76200</xdr:rowOff>
        </xdr:from>
        <xdr:to>
          <xdr:col>15</xdr:col>
          <xdr:colOff>447675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Lấy dữ liệu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66675</xdr:rowOff>
        </xdr:from>
        <xdr:to>
          <xdr:col>4</xdr:col>
          <xdr:colOff>485775</xdr:colOff>
          <xdr:row>1</xdr:row>
          <xdr:rowOff>133350</xdr:rowOff>
        </xdr:to>
        <xdr:sp macro="" textlink="">
          <xdr:nvSpPr>
            <xdr:cNvPr id="6146" name="cmdXoaDL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85725</xdr:rowOff>
        </xdr:from>
        <xdr:to>
          <xdr:col>4</xdr:col>
          <xdr:colOff>866775</xdr:colOff>
          <xdr:row>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Palatino Linotype"/>
                </a:rPr>
                <a:t>Cùng MC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38100</xdr:rowOff>
        </xdr:from>
        <xdr:to>
          <xdr:col>1</xdr:col>
          <xdr:colOff>838200</xdr:colOff>
          <xdr:row>1</xdr:row>
          <xdr:rowOff>76200</xdr:rowOff>
        </xdr:to>
        <xdr:sp macro="" textlink="">
          <xdr:nvSpPr>
            <xdr:cNvPr id="5121" name="cmdChamDiem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uongNHD/BTN/Filecham_BTN_2303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uyVan"/>
      <sheetName val="DapAn"/>
      <sheetName val="BaiLam"/>
      <sheetName val="DanhSach"/>
      <sheetName val="BangDiem"/>
      <sheetName val="Sheet1"/>
      <sheetName val="Sheet2"/>
      <sheetName val="DatabaseLoi"/>
    </sheetNames>
    <sheetDataSet>
      <sheetData sheetId="0" refreshError="1"/>
      <sheetData sheetId="1">
        <row r="8">
          <cell r="D8">
            <v>36000000</v>
          </cell>
          <cell r="E8">
            <v>36000000</v>
          </cell>
          <cell r="F8">
            <v>0</v>
          </cell>
          <cell r="G8">
            <v>36</v>
          </cell>
          <cell r="H8">
            <v>36</v>
          </cell>
          <cell r="I8" t="str">
            <v>111</v>
          </cell>
          <cell r="J8">
            <v>59514000</v>
          </cell>
          <cell r="K8">
            <v>59514000</v>
          </cell>
          <cell r="L8">
            <v>0</v>
          </cell>
          <cell r="M8">
            <v>0</v>
          </cell>
          <cell r="N8">
            <v>0</v>
          </cell>
          <cell r="O8">
            <v>103</v>
          </cell>
          <cell r="P8" t="str">
            <v>133</v>
          </cell>
          <cell r="Q8">
            <v>6226819</v>
          </cell>
          <cell r="R8">
            <v>6226819</v>
          </cell>
          <cell r="S8">
            <v>0</v>
          </cell>
          <cell r="T8" t="str">
            <v>1</v>
          </cell>
          <cell r="U8" t="str">
            <v>111</v>
          </cell>
          <cell r="V8">
            <v>1006841402</v>
          </cell>
        </row>
        <row r="9">
          <cell r="D9">
            <v>36000000</v>
          </cell>
          <cell r="E9">
            <v>36000000</v>
          </cell>
          <cell r="F9">
            <v>0</v>
          </cell>
          <cell r="G9">
            <v>36</v>
          </cell>
          <cell r="H9">
            <v>36</v>
          </cell>
          <cell r="I9" t="str">
            <v>112</v>
          </cell>
          <cell r="J9">
            <v>666637400</v>
          </cell>
          <cell r="K9">
            <v>666637400</v>
          </cell>
          <cell r="L9">
            <v>0</v>
          </cell>
          <cell r="M9">
            <v>0</v>
          </cell>
          <cell r="N9">
            <v>0</v>
          </cell>
          <cell r="O9">
            <v>103</v>
          </cell>
          <cell r="P9" t="str">
            <v>152</v>
          </cell>
          <cell r="Q9">
            <v>62268189</v>
          </cell>
          <cell r="R9">
            <v>62268189</v>
          </cell>
          <cell r="S9">
            <v>2177.1999999999998</v>
          </cell>
          <cell r="T9" t="str">
            <v>1</v>
          </cell>
          <cell r="U9" t="str">
            <v>131</v>
          </cell>
          <cell r="V9">
            <v>332845500</v>
          </cell>
        </row>
        <row r="10">
          <cell r="D10">
            <v>36000000</v>
          </cell>
          <cell r="E10">
            <v>36000000</v>
          </cell>
          <cell r="F10">
            <v>0</v>
          </cell>
          <cell r="G10">
            <v>36</v>
          </cell>
          <cell r="H10">
            <v>36</v>
          </cell>
          <cell r="I10" t="str">
            <v>131</v>
          </cell>
          <cell r="J10">
            <v>60000000</v>
          </cell>
          <cell r="K10">
            <v>60000000</v>
          </cell>
          <cell r="L10">
            <v>0</v>
          </cell>
          <cell r="M10">
            <v>0</v>
          </cell>
          <cell r="N10">
            <v>0</v>
          </cell>
          <cell r="O10">
            <v>103</v>
          </cell>
          <cell r="P10" t="str">
            <v>331</v>
          </cell>
          <cell r="Q10">
            <v>-68495008</v>
          </cell>
          <cell r="R10">
            <v>-68495008</v>
          </cell>
          <cell r="S10">
            <v>0</v>
          </cell>
          <cell r="T10" t="str">
            <v>1</v>
          </cell>
          <cell r="U10" t="str">
            <v>141</v>
          </cell>
          <cell r="V10">
            <v>475100389</v>
          </cell>
        </row>
        <row r="11">
          <cell r="D11">
            <v>360000000</v>
          </cell>
          <cell r="E11">
            <v>360000000</v>
          </cell>
          <cell r="F11">
            <v>36000000</v>
          </cell>
          <cell r="G11">
            <v>120</v>
          </cell>
          <cell r="H11">
            <v>108</v>
          </cell>
          <cell r="I11" t="str">
            <v>133</v>
          </cell>
          <cell r="J11">
            <v>40284600</v>
          </cell>
          <cell r="K11">
            <v>40284600</v>
          </cell>
          <cell r="L11">
            <v>0</v>
          </cell>
          <cell r="M11">
            <v>0</v>
          </cell>
          <cell r="N11">
            <v>0</v>
          </cell>
          <cell r="O11">
            <v>104</v>
          </cell>
          <cell r="P11" t="str">
            <v>111</v>
          </cell>
          <cell r="Q11">
            <v>-5000000</v>
          </cell>
          <cell r="R11">
            <v>-5000000</v>
          </cell>
          <cell r="S11">
            <v>0</v>
          </cell>
          <cell r="T11" t="str">
            <v>1</v>
          </cell>
          <cell r="U11" t="str">
            <v>151</v>
          </cell>
          <cell r="V11">
            <v>27200000</v>
          </cell>
        </row>
        <row r="12">
          <cell r="I12" t="str">
            <v>152</v>
          </cell>
          <cell r="J12">
            <v>438614306</v>
          </cell>
          <cell r="K12">
            <v>438614306</v>
          </cell>
          <cell r="L12">
            <v>0</v>
          </cell>
          <cell r="M12">
            <v>0</v>
          </cell>
          <cell r="N12">
            <v>0</v>
          </cell>
          <cell r="O12">
            <v>104</v>
          </cell>
          <cell r="P12" t="str">
            <v>141</v>
          </cell>
          <cell r="Q12">
            <v>5000000</v>
          </cell>
          <cell r="R12">
            <v>5000000</v>
          </cell>
          <cell r="S12">
            <v>0</v>
          </cell>
          <cell r="T12" t="str">
            <v>1</v>
          </cell>
          <cell r="U12" t="str">
            <v>152</v>
          </cell>
          <cell r="V12">
            <v>30784352</v>
          </cell>
        </row>
        <row r="13">
          <cell r="I13" t="str">
            <v>211</v>
          </cell>
          <cell r="J13">
            <v>360000000</v>
          </cell>
          <cell r="K13">
            <v>360000000</v>
          </cell>
          <cell r="L13">
            <v>0</v>
          </cell>
          <cell r="M13">
            <v>0</v>
          </cell>
          <cell r="N13">
            <v>0</v>
          </cell>
          <cell r="O13">
            <v>105</v>
          </cell>
          <cell r="P13" t="str">
            <v>152</v>
          </cell>
          <cell r="Q13">
            <v>-294344300</v>
          </cell>
          <cell r="R13">
            <v>-294344300</v>
          </cell>
          <cell r="S13">
            <v>10000</v>
          </cell>
          <cell r="T13" t="str">
            <v>1</v>
          </cell>
          <cell r="U13" t="str">
            <v>222</v>
          </cell>
          <cell r="V13">
            <v>950600000</v>
          </cell>
        </row>
        <row r="14">
          <cell r="I14" t="str">
            <v>211</v>
          </cell>
          <cell r="J14">
            <v>108000000</v>
          </cell>
          <cell r="K14">
            <v>108000000</v>
          </cell>
          <cell r="L14">
            <v>0</v>
          </cell>
          <cell r="M14">
            <v>0</v>
          </cell>
          <cell r="N14">
            <v>0</v>
          </cell>
          <cell r="O14">
            <v>105</v>
          </cell>
          <cell r="P14" t="str">
            <v>621</v>
          </cell>
          <cell r="Q14">
            <v>294344300</v>
          </cell>
          <cell r="R14">
            <v>294344300</v>
          </cell>
          <cell r="S14">
            <v>0</v>
          </cell>
          <cell r="T14" t="str">
            <v>1</v>
          </cell>
          <cell r="U14" t="str">
            <v>223</v>
          </cell>
          <cell r="V14">
            <v>-43945968</v>
          </cell>
        </row>
        <row r="15">
          <cell r="I15" t="str">
            <v>214</v>
          </cell>
          <cell r="J15">
            <v>0</v>
          </cell>
          <cell r="K15">
            <v>0</v>
          </cell>
          <cell r="L15">
            <v>36000000</v>
          </cell>
          <cell r="M15">
            <v>36000000</v>
          </cell>
          <cell r="N15">
            <v>0</v>
          </cell>
          <cell r="O15">
            <v>107</v>
          </cell>
          <cell r="P15" t="str">
            <v>111</v>
          </cell>
          <cell r="Q15">
            <v>3680000</v>
          </cell>
          <cell r="R15">
            <v>3680000</v>
          </cell>
          <cell r="S15">
            <v>0</v>
          </cell>
          <cell r="T15" t="str">
            <v>1</v>
          </cell>
          <cell r="U15" t="str">
            <v>242</v>
          </cell>
          <cell r="V15">
            <v>74000000</v>
          </cell>
        </row>
        <row r="16">
          <cell r="I16" t="str">
            <v>331</v>
          </cell>
          <cell r="J16">
            <v>0</v>
          </cell>
          <cell r="K16">
            <v>0</v>
          </cell>
          <cell r="L16">
            <v>38000000</v>
          </cell>
          <cell r="M16">
            <v>38000000</v>
          </cell>
          <cell r="N16">
            <v>0</v>
          </cell>
          <cell r="O16">
            <v>107</v>
          </cell>
          <cell r="P16" t="str">
            <v>133</v>
          </cell>
          <cell r="Q16">
            <v>120000</v>
          </cell>
          <cell r="R16">
            <v>120000</v>
          </cell>
          <cell r="S16">
            <v>0</v>
          </cell>
          <cell r="T16" t="str">
            <v>1</v>
          </cell>
          <cell r="U16" t="str">
            <v>311</v>
          </cell>
          <cell r="V16">
            <v>96597779</v>
          </cell>
        </row>
        <row r="17">
          <cell r="I17" t="str">
            <v>331</v>
          </cell>
          <cell r="J17">
            <v>0</v>
          </cell>
          <cell r="K17">
            <v>0</v>
          </cell>
          <cell r="L17">
            <v>46000000</v>
          </cell>
          <cell r="M17">
            <v>46000000</v>
          </cell>
          <cell r="N17">
            <v>0</v>
          </cell>
          <cell r="O17">
            <v>107</v>
          </cell>
          <cell r="P17" t="str">
            <v>141</v>
          </cell>
          <cell r="Q17">
            <v>-5000000</v>
          </cell>
          <cell r="R17">
            <v>-5000000</v>
          </cell>
          <cell r="S17">
            <v>0</v>
          </cell>
          <cell r="T17" t="str">
            <v>1</v>
          </cell>
          <cell r="U17" t="str">
            <v>313</v>
          </cell>
          <cell r="V17">
            <v>96436629</v>
          </cell>
        </row>
        <row r="18">
          <cell r="I18" t="str">
            <v>411</v>
          </cell>
          <cell r="J18">
            <v>0</v>
          </cell>
          <cell r="K18">
            <v>0</v>
          </cell>
          <cell r="L18">
            <v>1500000000</v>
          </cell>
          <cell r="M18">
            <v>1500000000</v>
          </cell>
          <cell r="N18">
            <v>0</v>
          </cell>
          <cell r="O18">
            <v>107</v>
          </cell>
          <cell r="P18" t="str">
            <v>641</v>
          </cell>
          <cell r="Q18">
            <v>1200000</v>
          </cell>
          <cell r="R18">
            <v>1200000</v>
          </cell>
          <cell r="S18">
            <v>0</v>
          </cell>
          <cell r="T18" t="str">
            <v>1</v>
          </cell>
          <cell r="U18" t="str">
            <v>314</v>
          </cell>
          <cell r="V18">
            <v>105113851</v>
          </cell>
        </row>
        <row r="19">
          <cell r="I19" t="str">
            <v>421</v>
          </cell>
          <cell r="J19">
            <v>0</v>
          </cell>
          <cell r="K19">
            <v>0</v>
          </cell>
          <cell r="L19">
            <v>113050306</v>
          </cell>
          <cell r="M19">
            <v>113050306</v>
          </cell>
          <cell r="N19">
            <v>0</v>
          </cell>
          <cell r="O19">
            <v>108</v>
          </cell>
          <cell r="P19" t="str">
            <v>112</v>
          </cell>
          <cell r="Q19">
            <v>-87628343</v>
          </cell>
          <cell r="R19">
            <v>-87628343</v>
          </cell>
          <cell r="S19">
            <v>0</v>
          </cell>
          <cell r="T19" t="str">
            <v>1</v>
          </cell>
          <cell r="U19" t="str">
            <v>319</v>
          </cell>
          <cell r="V19">
            <v>56480592</v>
          </cell>
        </row>
        <row r="20">
          <cell r="O20">
            <v>108</v>
          </cell>
          <cell r="P20" t="str">
            <v>133</v>
          </cell>
          <cell r="Q20">
            <v>7966213</v>
          </cell>
          <cell r="R20">
            <v>7966213</v>
          </cell>
          <cell r="S20">
            <v>0</v>
          </cell>
          <cell r="T20" t="str">
            <v>1</v>
          </cell>
          <cell r="U20" t="str">
            <v>320</v>
          </cell>
          <cell r="V20">
            <v>500000000</v>
          </cell>
        </row>
        <row r="21">
          <cell r="O21">
            <v>108</v>
          </cell>
          <cell r="P21" t="str">
            <v>152</v>
          </cell>
          <cell r="Q21">
            <v>79662130</v>
          </cell>
          <cell r="R21">
            <v>79662130</v>
          </cell>
          <cell r="S21">
            <v>5735</v>
          </cell>
          <cell r="T21" t="str">
            <v>1</v>
          </cell>
          <cell r="U21" t="str">
            <v>411</v>
          </cell>
          <cell r="V21">
            <v>1500000000</v>
          </cell>
        </row>
        <row r="22">
          <cell r="O22">
            <v>109</v>
          </cell>
          <cell r="P22" t="str">
            <v>152</v>
          </cell>
          <cell r="Q22">
            <v>-78907400</v>
          </cell>
          <cell r="R22">
            <v>-78907400</v>
          </cell>
          <cell r="S22">
            <v>6200</v>
          </cell>
          <cell r="T22" t="str">
            <v>1</v>
          </cell>
          <cell r="U22" t="str">
            <v>411a</v>
          </cell>
          <cell r="V22">
            <v>1500000000</v>
          </cell>
        </row>
        <row r="23">
          <cell r="O23">
            <v>109</v>
          </cell>
          <cell r="P23" t="str">
            <v>621</v>
          </cell>
          <cell r="Q23">
            <v>78907400</v>
          </cell>
          <cell r="R23">
            <v>78907400</v>
          </cell>
          <cell r="S23">
            <v>0</v>
          </cell>
          <cell r="T23" t="str">
            <v>1</v>
          </cell>
          <cell r="U23" t="str">
            <v>421a</v>
          </cell>
          <cell r="V23">
            <v>113050306</v>
          </cell>
        </row>
        <row r="24">
          <cell r="O24">
            <v>110</v>
          </cell>
          <cell r="P24" t="str">
            <v>111</v>
          </cell>
          <cell r="Q24">
            <v>-2640000</v>
          </cell>
          <cell r="R24">
            <v>-2640000</v>
          </cell>
          <cell r="S24">
            <v>0</v>
          </cell>
          <cell r="T24" t="str">
            <v>1</v>
          </cell>
          <cell r="U24" t="str">
            <v>421b</v>
          </cell>
          <cell r="V24">
            <v>385746518</v>
          </cell>
        </row>
        <row r="25">
          <cell r="O25">
            <v>110</v>
          </cell>
          <cell r="P25" t="str">
            <v>133</v>
          </cell>
          <cell r="Q25">
            <v>240000</v>
          </cell>
          <cell r="R25">
            <v>240000</v>
          </cell>
          <cell r="S25">
            <v>0</v>
          </cell>
        </row>
        <row r="26">
          <cell r="O26">
            <v>110</v>
          </cell>
          <cell r="P26" t="str">
            <v>242</v>
          </cell>
          <cell r="Q26">
            <v>2400000</v>
          </cell>
          <cell r="R26">
            <v>2400000</v>
          </cell>
          <cell r="S26">
            <v>0</v>
          </cell>
        </row>
        <row r="27">
          <cell r="O27">
            <v>111</v>
          </cell>
          <cell r="P27" t="str">
            <v>133</v>
          </cell>
          <cell r="Q27">
            <v>9322076</v>
          </cell>
          <cell r="R27">
            <v>9322076</v>
          </cell>
          <cell r="S27">
            <v>0</v>
          </cell>
        </row>
        <row r="28">
          <cell r="O28">
            <v>111</v>
          </cell>
          <cell r="P28" t="str">
            <v>152</v>
          </cell>
          <cell r="Q28">
            <v>19220764</v>
          </cell>
          <cell r="R28">
            <v>19220764</v>
          </cell>
          <cell r="S28">
            <v>947</v>
          </cell>
        </row>
        <row r="29">
          <cell r="O29">
            <v>111</v>
          </cell>
          <cell r="P29" t="str">
            <v>241</v>
          </cell>
          <cell r="Q29">
            <v>74000000</v>
          </cell>
          <cell r="R29">
            <v>74000000</v>
          </cell>
          <cell r="S29">
            <v>0</v>
          </cell>
        </row>
        <row r="30">
          <cell r="O30">
            <v>111</v>
          </cell>
          <cell r="P30" t="str">
            <v>331</v>
          </cell>
          <cell r="Q30">
            <v>-102542840</v>
          </cell>
          <cell r="R30">
            <v>-102542840</v>
          </cell>
          <cell r="S30">
            <v>0</v>
          </cell>
        </row>
        <row r="31">
          <cell r="O31">
            <v>112</v>
          </cell>
          <cell r="P31" t="str">
            <v>112</v>
          </cell>
          <cell r="Q31">
            <v>-67125108</v>
          </cell>
          <cell r="R31">
            <v>-67125108</v>
          </cell>
          <cell r="S31">
            <v>0</v>
          </cell>
        </row>
        <row r="32">
          <cell r="O32">
            <v>112</v>
          </cell>
          <cell r="P32" t="str">
            <v>131</v>
          </cell>
          <cell r="Q32">
            <v>14063390</v>
          </cell>
          <cell r="R32">
            <v>14063390</v>
          </cell>
          <cell r="S32">
            <v>0</v>
          </cell>
        </row>
        <row r="33">
          <cell r="O33">
            <v>112</v>
          </cell>
          <cell r="P33" t="str">
            <v>133</v>
          </cell>
          <cell r="Q33">
            <v>-49551</v>
          </cell>
          <cell r="R33">
            <v>-49551</v>
          </cell>
          <cell r="S33">
            <v>0</v>
          </cell>
        </row>
        <row r="34">
          <cell r="O34">
            <v>112</v>
          </cell>
          <cell r="P34" t="str">
            <v>152</v>
          </cell>
          <cell r="Q34">
            <v>-11569710</v>
          </cell>
          <cell r="R34">
            <v>-11569710</v>
          </cell>
          <cell r="S34">
            <v>546.5</v>
          </cell>
        </row>
        <row r="35">
          <cell r="O35">
            <v>112</v>
          </cell>
          <cell r="P35" t="str">
            <v>331</v>
          </cell>
          <cell r="Q35">
            <v>69040069</v>
          </cell>
          <cell r="R35">
            <v>69040069</v>
          </cell>
          <cell r="S35">
            <v>0</v>
          </cell>
        </row>
        <row r="36">
          <cell r="O36">
            <v>112</v>
          </cell>
          <cell r="P36" t="str">
            <v>333</v>
          </cell>
          <cell r="Q36">
            <v>-1278490</v>
          </cell>
          <cell r="R36">
            <v>-1278490</v>
          </cell>
          <cell r="S36">
            <v>0</v>
          </cell>
        </row>
        <row r="37">
          <cell r="O37">
            <v>112</v>
          </cell>
          <cell r="P37" t="str">
            <v>511</v>
          </cell>
          <cell r="Q37">
            <v>-12784900</v>
          </cell>
          <cell r="R37">
            <v>-12784900</v>
          </cell>
          <cell r="S37">
            <v>546.5</v>
          </cell>
        </row>
        <row r="38">
          <cell r="O38">
            <v>112</v>
          </cell>
          <cell r="P38" t="str">
            <v>515</v>
          </cell>
          <cell r="Q38">
            <v>-1369900</v>
          </cell>
          <cell r="R38">
            <v>-1369900</v>
          </cell>
          <cell r="S38">
            <v>0</v>
          </cell>
        </row>
        <row r="39">
          <cell r="O39">
            <v>112</v>
          </cell>
          <cell r="P39" t="str">
            <v>632</v>
          </cell>
          <cell r="Q39">
            <v>11074200</v>
          </cell>
          <cell r="R39">
            <v>11074200</v>
          </cell>
          <cell r="S39">
            <v>0</v>
          </cell>
        </row>
        <row r="40">
          <cell r="O40">
            <v>113</v>
          </cell>
          <cell r="P40" t="str">
            <v>111</v>
          </cell>
          <cell r="Q40">
            <v>-8000000</v>
          </cell>
          <cell r="R40">
            <v>-8000000</v>
          </cell>
          <cell r="S40">
            <v>0</v>
          </cell>
        </row>
        <row r="41">
          <cell r="O41">
            <v>113</v>
          </cell>
          <cell r="P41" t="str">
            <v>112</v>
          </cell>
          <cell r="Q41">
            <v>-81400000</v>
          </cell>
          <cell r="R41">
            <v>-81400000</v>
          </cell>
          <cell r="S41">
            <v>0</v>
          </cell>
        </row>
        <row r="42">
          <cell r="O42">
            <v>113</v>
          </cell>
          <cell r="P42" t="str">
            <v>331</v>
          </cell>
          <cell r="Q42">
            <v>89400000</v>
          </cell>
          <cell r="R42">
            <v>89400000</v>
          </cell>
          <cell r="S42">
            <v>0</v>
          </cell>
        </row>
        <row r="43">
          <cell r="O43">
            <v>114</v>
          </cell>
          <cell r="P43" t="str">
            <v>111</v>
          </cell>
          <cell r="Q43">
            <v>150000000</v>
          </cell>
          <cell r="R43">
            <v>150000000</v>
          </cell>
          <cell r="S43">
            <v>0</v>
          </cell>
        </row>
        <row r="44">
          <cell r="O44">
            <v>114</v>
          </cell>
          <cell r="P44" t="str">
            <v>112</v>
          </cell>
          <cell r="Q44">
            <v>-150000000</v>
          </cell>
          <cell r="R44">
            <v>-151233700</v>
          </cell>
          <cell r="S44">
            <v>0</v>
          </cell>
        </row>
        <row r="45">
          <cell r="O45">
            <v>115</v>
          </cell>
          <cell r="P45" t="str">
            <v>111</v>
          </cell>
          <cell r="Q45">
            <v>-44883000</v>
          </cell>
          <cell r="R45">
            <v>-44883000</v>
          </cell>
          <cell r="S45">
            <v>0</v>
          </cell>
        </row>
        <row r="46">
          <cell r="O46">
            <v>115</v>
          </cell>
          <cell r="P46" t="str">
            <v>112</v>
          </cell>
          <cell r="Q46">
            <v>-14408012</v>
          </cell>
          <cell r="R46">
            <v>-14408012</v>
          </cell>
          <cell r="S46">
            <v>0</v>
          </cell>
        </row>
        <row r="47">
          <cell r="O47">
            <v>115</v>
          </cell>
          <cell r="P47" t="str">
            <v>131</v>
          </cell>
          <cell r="Q47">
            <v>-14063390</v>
          </cell>
          <cell r="R47">
            <v>-14063390</v>
          </cell>
          <cell r="S47">
            <v>0</v>
          </cell>
        </row>
        <row r="48">
          <cell r="O48">
            <v>115</v>
          </cell>
          <cell r="P48" t="str">
            <v>133</v>
          </cell>
          <cell r="Q48">
            <v>48124500</v>
          </cell>
          <cell r="R48">
            <v>48124500</v>
          </cell>
          <cell r="S48">
            <v>0</v>
          </cell>
        </row>
        <row r="49">
          <cell r="O49">
            <v>115</v>
          </cell>
          <cell r="P49" t="str">
            <v>211</v>
          </cell>
          <cell r="Q49">
            <v>480000000</v>
          </cell>
          <cell r="R49">
            <v>480000000</v>
          </cell>
          <cell r="S49">
            <v>0</v>
          </cell>
        </row>
        <row r="50">
          <cell r="O50">
            <v>115</v>
          </cell>
          <cell r="P50" t="str">
            <v>331</v>
          </cell>
          <cell r="Q50">
            <v>-500000000</v>
          </cell>
          <cell r="R50">
            <v>-500000000</v>
          </cell>
          <cell r="S50">
            <v>0</v>
          </cell>
        </row>
        <row r="51">
          <cell r="O51">
            <v>115</v>
          </cell>
          <cell r="P51" t="str">
            <v>334</v>
          </cell>
          <cell r="Q51">
            <v>43563000</v>
          </cell>
          <cell r="R51">
            <v>43563000</v>
          </cell>
          <cell r="S51">
            <v>0</v>
          </cell>
        </row>
        <row r="52">
          <cell r="O52">
            <v>115</v>
          </cell>
          <cell r="P52" t="str">
            <v>635</v>
          </cell>
          <cell r="Q52">
            <v>421902</v>
          </cell>
          <cell r="R52">
            <v>421902</v>
          </cell>
          <cell r="S52">
            <v>0</v>
          </cell>
        </row>
        <row r="53">
          <cell r="O53">
            <v>115</v>
          </cell>
          <cell r="P53" t="str">
            <v>641</v>
          </cell>
          <cell r="Q53">
            <v>480000</v>
          </cell>
          <cell r="R53">
            <v>480000</v>
          </cell>
          <cell r="S53">
            <v>0</v>
          </cell>
        </row>
        <row r="54">
          <cell r="O54">
            <v>115</v>
          </cell>
          <cell r="P54" t="str">
            <v>642</v>
          </cell>
          <cell r="Q54">
            <v>765000</v>
          </cell>
          <cell r="R54">
            <v>765000</v>
          </cell>
          <cell r="S54">
            <v>0</v>
          </cell>
        </row>
        <row r="55">
          <cell r="O55">
            <v>116</v>
          </cell>
          <cell r="P55" t="str">
            <v>111</v>
          </cell>
          <cell r="Q55">
            <v>3500000</v>
          </cell>
          <cell r="R55">
            <v>3500000</v>
          </cell>
          <cell r="S55">
            <v>0</v>
          </cell>
        </row>
        <row r="56">
          <cell r="O56">
            <v>116</v>
          </cell>
          <cell r="P56" t="str">
            <v>112</v>
          </cell>
          <cell r="Q56">
            <v>-68255535</v>
          </cell>
          <cell r="R56">
            <v>-68255535</v>
          </cell>
          <cell r="S56">
            <v>0</v>
          </cell>
        </row>
        <row r="57">
          <cell r="O57">
            <v>116</v>
          </cell>
          <cell r="P57" t="str">
            <v>133</v>
          </cell>
          <cell r="Q57">
            <v>5748685</v>
          </cell>
          <cell r="R57">
            <v>5748685</v>
          </cell>
          <cell r="S57">
            <v>0</v>
          </cell>
        </row>
        <row r="58">
          <cell r="O58">
            <v>116</v>
          </cell>
          <cell r="P58" t="str">
            <v>152</v>
          </cell>
          <cell r="Q58">
            <v>-13133609</v>
          </cell>
          <cell r="R58">
            <v>-13133609</v>
          </cell>
          <cell r="S58">
            <v>500</v>
          </cell>
        </row>
        <row r="59">
          <cell r="O59">
            <v>116</v>
          </cell>
          <cell r="P59" t="str">
            <v>242</v>
          </cell>
          <cell r="Q59">
            <v>30000000</v>
          </cell>
          <cell r="R59">
            <v>30000000</v>
          </cell>
          <cell r="S59">
            <v>0</v>
          </cell>
        </row>
        <row r="60">
          <cell r="O60">
            <v>116</v>
          </cell>
          <cell r="P60" t="str">
            <v>331</v>
          </cell>
          <cell r="Q60">
            <v>500000000</v>
          </cell>
          <cell r="R60">
            <v>500000000</v>
          </cell>
          <cell r="S60">
            <v>0</v>
          </cell>
        </row>
        <row r="61">
          <cell r="O61">
            <v>116</v>
          </cell>
          <cell r="P61" t="str">
            <v>333</v>
          </cell>
          <cell r="Q61">
            <v>-1530000</v>
          </cell>
          <cell r="R61">
            <v>-1530000</v>
          </cell>
          <cell r="S61">
            <v>0</v>
          </cell>
        </row>
        <row r="62">
          <cell r="O62">
            <v>116</v>
          </cell>
          <cell r="P62" t="str">
            <v>341</v>
          </cell>
          <cell r="Q62">
            <v>-500000000</v>
          </cell>
          <cell r="R62">
            <v>-500000000</v>
          </cell>
          <cell r="S62">
            <v>0</v>
          </cell>
        </row>
        <row r="63">
          <cell r="O63">
            <v>116</v>
          </cell>
          <cell r="P63" t="str">
            <v>511</v>
          </cell>
          <cell r="Q63">
            <v>-15300000</v>
          </cell>
          <cell r="R63">
            <v>-15300000</v>
          </cell>
          <cell r="S63">
            <v>500</v>
          </cell>
        </row>
        <row r="64">
          <cell r="O64">
            <v>116</v>
          </cell>
          <cell r="P64" t="str">
            <v>621</v>
          </cell>
          <cell r="Q64">
            <v>42486850</v>
          </cell>
          <cell r="R64">
            <v>42486850</v>
          </cell>
          <cell r="S64">
            <v>0</v>
          </cell>
        </row>
        <row r="65">
          <cell r="O65">
            <v>116</v>
          </cell>
          <cell r="P65" t="str">
            <v>632</v>
          </cell>
          <cell r="Q65">
            <v>13133609</v>
          </cell>
          <cell r="R65">
            <v>13133609</v>
          </cell>
          <cell r="S65">
            <v>0</v>
          </cell>
        </row>
        <row r="66">
          <cell r="O66">
            <v>116</v>
          </cell>
          <cell r="P66" t="str">
            <v>641</v>
          </cell>
          <cell r="Q66">
            <v>2500000</v>
          </cell>
          <cell r="R66">
            <v>2500000</v>
          </cell>
          <cell r="S66">
            <v>0</v>
          </cell>
        </row>
        <row r="67">
          <cell r="O67">
            <v>116</v>
          </cell>
          <cell r="P67" t="str">
            <v>642</v>
          </cell>
          <cell r="Q67">
            <v>850000</v>
          </cell>
          <cell r="R67">
            <v>850000</v>
          </cell>
          <cell r="S67">
            <v>0</v>
          </cell>
        </row>
        <row r="68">
          <cell r="O68">
            <v>117</v>
          </cell>
          <cell r="P68" t="str">
            <v>111</v>
          </cell>
          <cell r="Q68">
            <v>1650000</v>
          </cell>
          <cell r="R68">
            <v>1650000</v>
          </cell>
          <cell r="S68">
            <v>0</v>
          </cell>
        </row>
        <row r="69">
          <cell r="O69">
            <v>117</v>
          </cell>
          <cell r="P69" t="str">
            <v>112</v>
          </cell>
          <cell r="Q69">
            <v>403800000</v>
          </cell>
          <cell r="R69">
            <v>403800000</v>
          </cell>
          <cell r="S69">
            <v>0</v>
          </cell>
        </row>
        <row r="70">
          <cell r="O70">
            <v>117</v>
          </cell>
          <cell r="P70" t="str">
            <v>131</v>
          </cell>
          <cell r="Q70">
            <v>-32000000</v>
          </cell>
          <cell r="R70">
            <v>-32000000</v>
          </cell>
          <cell r="S70">
            <v>0</v>
          </cell>
        </row>
        <row r="71">
          <cell r="O71">
            <v>117</v>
          </cell>
          <cell r="P71" t="str">
            <v>154</v>
          </cell>
          <cell r="Q71">
            <v>-434296488</v>
          </cell>
          <cell r="R71">
            <v>-434296488</v>
          </cell>
          <cell r="S71">
            <v>4730</v>
          </cell>
        </row>
        <row r="72">
          <cell r="O72">
            <v>117</v>
          </cell>
          <cell r="P72" t="str">
            <v>155</v>
          </cell>
          <cell r="Q72">
            <v>343094226</v>
          </cell>
          <cell r="R72">
            <v>343094226</v>
          </cell>
          <cell r="S72">
            <v>5730</v>
          </cell>
        </row>
        <row r="73">
          <cell r="O73">
            <v>117</v>
          </cell>
          <cell r="P73" t="str">
            <v>333</v>
          </cell>
          <cell r="Q73">
            <v>-33950000</v>
          </cell>
          <cell r="R73">
            <v>-33950000</v>
          </cell>
          <cell r="S73">
            <v>0</v>
          </cell>
        </row>
        <row r="74">
          <cell r="O74">
            <v>117</v>
          </cell>
          <cell r="P74" t="str">
            <v>511</v>
          </cell>
          <cell r="Q74">
            <v>-338000000</v>
          </cell>
          <cell r="R74">
            <v>-338000000</v>
          </cell>
          <cell r="S74">
            <v>1000</v>
          </cell>
        </row>
        <row r="75">
          <cell r="O75">
            <v>117</v>
          </cell>
          <cell r="P75" t="str">
            <v>632</v>
          </cell>
          <cell r="Q75">
            <v>91202262</v>
          </cell>
          <cell r="R75">
            <v>91202262</v>
          </cell>
          <cell r="S75">
            <v>0</v>
          </cell>
        </row>
        <row r="76">
          <cell r="O76">
            <v>117</v>
          </cell>
          <cell r="P76" t="str">
            <v>711</v>
          </cell>
          <cell r="Q76">
            <v>-1500000</v>
          </cell>
          <cell r="R76">
            <v>-1500000</v>
          </cell>
          <cell r="S76">
            <v>0</v>
          </cell>
        </row>
        <row r="77">
          <cell r="O77">
            <v>118</v>
          </cell>
          <cell r="P77" t="str">
            <v>112</v>
          </cell>
          <cell r="Q77">
            <v>250000000</v>
          </cell>
          <cell r="R77">
            <v>250000000</v>
          </cell>
          <cell r="S77">
            <v>0</v>
          </cell>
        </row>
        <row r="78">
          <cell r="O78">
            <v>118</v>
          </cell>
          <cell r="P78" t="str">
            <v>131</v>
          </cell>
          <cell r="Q78">
            <v>304845500</v>
          </cell>
          <cell r="R78">
            <v>304845500</v>
          </cell>
          <cell r="S78">
            <v>0</v>
          </cell>
        </row>
        <row r="79">
          <cell r="O79">
            <v>118</v>
          </cell>
          <cell r="P79" t="str">
            <v>155</v>
          </cell>
          <cell r="Q79">
            <v>-141146357</v>
          </cell>
          <cell r="R79">
            <v>-141146357</v>
          </cell>
          <cell r="S79">
            <v>1550</v>
          </cell>
        </row>
        <row r="80">
          <cell r="O80">
            <v>118</v>
          </cell>
          <cell r="P80" t="str">
            <v>333</v>
          </cell>
          <cell r="Q80">
            <v>-50440500</v>
          </cell>
          <cell r="R80">
            <v>-50440500</v>
          </cell>
          <cell r="S80">
            <v>0</v>
          </cell>
        </row>
        <row r="81">
          <cell r="O81">
            <v>118</v>
          </cell>
          <cell r="P81" t="str">
            <v>511</v>
          </cell>
          <cell r="Q81">
            <v>-509500000</v>
          </cell>
          <cell r="R81">
            <v>-509500000</v>
          </cell>
          <cell r="S81">
            <v>1550</v>
          </cell>
        </row>
        <row r="82">
          <cell r="O82">
            <v>118</v>
          </cell>
          <cell r="P82" t="str">
            <v>521</v>
          </cell>
          <cell r="Q82">
            <v>5095000</v>
          </cell>
          <cell r="R82">
            <v>5095000</v>
          </cell>
          <cell r="S82">
            <v>0</v>
          </cell>
        </row>
        <row r="83">
          <cell r="O83">
            <v>118</v>
          </cell>
          <cell r="P83" t="str">
            <v>632</v>
          </cell>
          <cell r="Q83">
            <v>141146357</v>
          </cell>
          <cell r="R83">
            <v>141146357</v>
          </cell>
          <cell r="S83">
            <v>0</v>
          </cell>
        </row>
        <row r="84">
          <cell r="O84">
            <v>120</v>
          </cell>
          <cell r="P84" t="str">
            <v>111</v>
          </cell>
          <cell r="Q84">
            <v>-2600000</v>
          </cell>
          <cell r="R84">
            <v>-2600000</v>
          </cell>
          <cell r="S84">
            <v>0</v>
          </cell>
        </row>
        <row r="85">
          <cell r="O85">
            <v>120</v>
          </cell>
          <cell r="P85" t="str">
            <v>211</v>
          </cell>
          <cell r="Q85">
            <v>2600000</v>
          </cell>
          <cell r="R85">
            <v>2600000</v>
          </cell>
          <cell r="S85">
            <v>0</v>
          </cell>
        </row>
        <row r="86">
          <cell r="O86">
            <v>131</v>
          </cell>
          <cell r="P86" t="str">
            <v>133</v>
          </cell>
          <cell r="Q86">
            <v>-87198990</v>
          </cell>
          <cell r="R86">
            <v>-87198990</v>
          </cell>
          <cell r="S86">
            <v>0</v>
          </cell>
        </row>
        <row r="87">
          <cell r="O87">
            <v>131</v>
          </cell>
          <cell r="P87" t="str">
            <v>154</v>
          </cell>
          <cell r="Q87">
            <v>505638638</v>
          </cell>
          <cell r="R87">
            <v>505638638</v>
          </cell>
          <cell r="S87">
            <v>0</v>
          </cell>
        </row>
        <row r="88">
          <cell r="O88">
            <v>131</v>
          </cell>
          <cell r="P88" t="str">
            <v>214</v>
          </cell>
          <cell r="Q88">
            <v>-7945968</v>
          </cell>
          <cell r="R88">
            <v>-7945968</v>
          </cell>
          <cell r="S88">
            <v>0</v>
          </cell>
        </row>
        <row r="89">
          <cell r="O89">
            <v>131</v>
          </cell>
          <cell r="P89" t="str">
            <v>242</v>
          </cell>
          <cell r="Q89">
            <v>-5200000</v>
          </cell>
          <cell r="R89">
            <v>-5200000</v>
          </cell>
          <cell r="S89">
            <v>0</v>
          </cell>
        </row>
        <row r="90">
          <cell r="O90">
            <v>131</v>
          </cell>
          <cell r="P90" t="str">
            <v>333</v>
          </cell>
          <cell r="Q90">
            <v>-9237639</v>
          </cell>
          <cell r="R90">
            <v>-9237639</v>
          </cell>
          <cell r="S90">
            <v>0</v>
          </cell>
        </row>
        <row r="91">
          <cell r="O91">
            <v>131</v>
          </cell>
          <cell r="P91" t="str">
            <v>334</v>
          </cell>
          <cell r="Q91">
            <v>-148676851</v>
          </cell>
          <cell r="R91">
            <v>-148676851</v>
          </cell>
          <cell r="S91">
            <v>0</v>
          </cell>
        </row>
        <row r="92">
          <cell r="O92">
            <v>131</v>
          </cell>
          <cell r="P92" t="str">
            <v>338</v>
          </cell>
          <cell r="Q92">
            <v>-56480592</v>
          </cell>
          <cell r="R92">
            <v>-56480592</v>
          </cell>
          <cell r="S92">
            <v>0</v>
          </cell>
        </row>
        <row r="93">
          <cell r="O93">
            <v>131</v>
          </cell>
          <cell r="P93" t="str">
            <v>421</v>
          </cell>
          <cell r="Q93">
            <v>-385746518</v>
          </cell>
          <cell r="R93">
            <v>-385746518</v>
          </cell>
          <cell r="S93">
            <v>0</v>
          </cell>
        </row>
        <row r="94">
          <cell r="O94">
            <v>131</v>
          </cell>
          <cell r="P94" t="str">
            <v>511</v>
          </cell>
          <cell r="Q94">
            <v>875584900</v>
          </cell>
          <cell r="R94">
            <v>875584900</v>
          </cell>
          <cell r="S94">
            <v>0</v>
          </cell>
        </row>
        <row r="95">
          <cell r="O95">
            <v>131</v>
          </cell>
          <cell r="P95" t="str">
            <v>515</v>
          </cell>
          <cell r="Q95">
            <v>1369900</v>
          </cell>
          <cell r="R95">
            <v>1369900</v>
          </cell>
          <cell r="S95">
            <v>0</v>
          </cell>
        </row>
        <row r="96">
          <cell r="O96">
            <v>131</v>
          </cell>
          <cell r="P96" t="str">
            <v>521</v>
          </cell>
          <cell r="Q96">
            <v>-5095000</v>
          </cell>
          <cell r="R96">
            <v>-5095000</v>
          </cell>
          <cell r="S96">
            <v>0</v>
          </cell>
        </row>
        <row r="97">
          <cell r="O97">
            <v>131</v>
          </cell>
          <cell r="P97" t="str">
            <v>621</v>
          </cell>
          <cell r="Q97">
            <v>-415738550</v>
          </cell>
          <cell r="R97">
            <v>-415738550</v>
          </cell>
          <cell r="S97">
            <v>0</v>
          </cell>
        </row>
        <row r="98">
          <cell r="O98">
            <v>131</v>
          </cell>
          <cell r="P98" t="str">
            <v>632</v>
          </cell>
          <cell r="Q98">
            <v>-256556428</v>
          </cell>
          <cell r="R98">
            <v>-256556428</v>
          </cell>
          <cell r="S98">
            <v>0</v>
          </cell>
        </row>
        <row r="99">
          <cell r="O99">
            <v>131</v>
          </cell>
          <cell r="P99" t="str">
            <v>635</v>
          </cell>
          <cell r="Q99">
            <v>-421902</v>
          </cell>
          <cell r="R99">
            <v>-421902</v>
          </cell>
          <cell r="S99">
            <v>0</v>
          </cell>
        </row>
        <row r="100">
          <cell r="O100">
            <v>131</v>
          </cell>
          <cell r="P100" t="str">
            <v>641</v>
          </cell>
          <cell r="Q100">
            <v>-4180000</v>
          </cell>
          <cell r="R100">
            <v>-4180000</v>
          </cell>
          <cell r="S100">
            <v>0</v>
          </cell>
        </row>
        <row r="101">
          <cell r="O101">
            <v>131</v>
          </cell>
          <cell r="P101" t="str">
            <v>642</v>
          </cell>
          <cell r="Q101">
            <v>-1615000</v>
          </cell>
          <cell r="R101">
            <v>-1615000</v>
          </cell>
          <cell r="S101">
            <v>0</v>
          </cell>
        </row>
        <row r="102">
          <cell r="O102">
            <v>131</v>
          </cell>
          <cell r="P102" t="str">
            <v>711</v>
          </cell>
          <cell r="Q102">
            <v>1500000</v>
          </cell>
          <cell r="R102">
            <v>1500000</v>
          </cell>
          <cell r="S102">
            <v>0</v>
          </cell>
        </row>
      </sheetData>
      <sheetData sheetId="2">
        <row r="8">
          <cell r="M8">
            <v>1</v>
          </cell>
          <cell r="T8">
            <v>1</v>
          </cell>
          <cell r="Z8">
            <v>1</v>
          </cell>
        </row>
        <row r="9">
          <cell r="M9">
            <v>0</v>
          </cell>
          <cell r="T9">
            <v>1</v>
          </cell>
          <cell r="Z9">
            <v>1</v>
          </cell>
        </row>
        <row r="10">
          <cell r="M10">
            <v>0</v>
          </cell>
          <cell r="T10">
            <v>1</v>
          </cell>
          <cell r="Z10">
            <v>1</v>
          </cell>
        </row>
        <row r="11">
          <cell r="M11">
            <v>0</v>
          </cell>
          <cell r="T11">
            <v>1</v>
          </cell>
          <cell r="Z11">
            <v>1</v>
          </cell>
        </row>
        <row r="12">
          <cell r="M12">
            <v>0</v>
          </cell>
          <cell r="T12">
            <v>1</v>
          </cell>
          <cell r="Z12">
            <v>1</v>
          </cell>
        </row>
        <row r="13">
          <cell r="M13">
            <v>0</v>
          </cell>
          <cell r="T13">
            <v>1</v>
          </cell>
          <cell r="Z13">
            <v>1</v>
          </cell>
        </row>
        <row r="14">
          <cell r="M14">
            <v>0</v>
          </cell>
          <cell r="T14">
            <v>1</v>
          </cell>
          <cell r="Z14">
            <v>0</v>
          </cell>
        </row>
        <row r="15">
          <cell r="M15">
            <v>0</v>
          </cell>
          <cell r="T15">
            <v>1</v>
          </cell>
          <cell r="Z15">
            <v>1</v>
          </cell>
        </row>
        <row r="16">
          <cell r="M16">
            <v>0</v>
          </cell>
          <cell r="T16">
            <v>1</v>
          </cell>
          <cell r="Z16">
            <v>1</v>
          </cell>
        </row>
        <row r="17">
          <cell r="M17">
            <v>0</v>
          </cell>
          <cell r="T17">
            <v>1</v>
          </cell>
          <cell r="Z17">
            <v>1</v>
          </cell>
        </row>
        <row r="18">
          <cell r="M18">
            <v>0</v>
          </cell>
          <cell r="T18">
            <v>1</v>
          </cell>
          <cell r="Z18">
            <v>1</v>
          </cell>
        </row>
        <row r="19">
          <cell r="M19">
            <v>0</v>
          </cell>
          <cell r="T19">
            <v>1</v>
          </cell>
          <cell r="Z19">
            <v>1</v>
          </cell>
        </row>
        <row r="20">
          <cell r="M20">
            <v>0</v>
          </cell>
          <cell r="T20">
            <v>0</v>
          </cell>
          <cell r="Z20">
            <v>0</v>
          </cell>
        </row>
        <row r="21">
          <cell r="M21">
            <v>0</v>
          </cell>
          <cell r="T21">
            <v>0</v>
          </cell>
          <cell r="Z21">
            <v>1</v>
          </cell>
        </row>
        <row r="22">
          <cell r="M22">
            <v>0</v>
          </cell>
          <cell r="T22">
            <v>0</v>
          </cell>
          <cell r="Z22">
            <v>1</v>
          </cell>
        </row>
        <row r="23">
          <cell r="M23">
            <v>0</v>
          </cell>
          <cell r="T23">
            <v>0</v>
          </cell>
          <cell r="Z23">
            <v>0</v>
          </cell>
        </row>
        <row r="24">
          <cell r="M24">
            <v>0</v>
          </cell>
          <cell r="T24">
            <v>0</v>
          </cell>
          <cell r="Z24">
            <v>1</v>
          </cell>
        </row>
        <row r="25">
          <cell r="M25">
            <v>0</v>
          </cell>
          <cell r="T25">
            <v>0</v>
          </cell>
          <cell r="Z25">
            <v>1</v>
          </cell>
        </row>
        <row r="26">
          <cell r="M26">
            <v>0</v>
          </cell>
          <cell r="T26">
            <v>0</v>
          </cell>
          <cell r="Z26">
            <v>1</v>
          </cell>
        </row>
        <row r="27">
          <cell r="M27">
            <v>0</v>
          </cell>
          <cell r="T27">
            <v>0</v>
          </cell>
          <cell r="Z27">
            <v>1</v>
          </cell>
        </row>
        <row r="28">
          <cell r="M28">
            <v>0</v>
          </cell>
          <cell r="T28">
            <v>0</v>
          </cell>
          <cell r="Z28">
            <v>0</v>
          </cell>
        </row>
        <row r="29">
          <cell r="M29">
            <v>0</v>
          </cell>
          <cell r="T29">
            <v>0</v>
          </cell>
          <cell r="Z29">
            <v>1</v>
          </cell>
        </row>
        <row r="30">
          <cell r="M30">
            <v>0</v>
          </cell>
          <cell r="T30">
            <v>0</v>
          </cell>
          <cell r="Z30">
            <v>1</v>
          </cell>
        </row>
        <row r="31">
          <cell r="M31">
            <v>0</v>
          </cell>
          <cell r="T31">
            <v>0</v>
          </cell>
          <cell r="Z31">
            <v>1</v>
          </cell>
        </row>
        <row r="32">
          <cell r="M32">
            <v>0</v>
          </cell>
          <cell r="T32">
            <v>0</v>
          </cell>
          <cell r="Z32">
            <v>1</v>
          </cell>
        </row>
        <row r="33">
          <cell r="M33">
            <v>0</v>
          </cell>
          <cell r="T33">
            <v>0</v>
          </cell>
          <cell r="Z33">
            <v>1</v>
          </cell>
        </row>
        <row r="34">
          <cell r="M34">
            <v>0</v>
          </cell>
          <cell r="T34">
            <v>0</v>
          </cell>
          <cell r="Z34">
            <v>0</v>
          </cell>
        </row>
        <row r="35">
          <cell r="M35">
            <v>0</v>
          </cell>
          <cell r="T35">
            <v>0</v>
          </cell>
          <cell r="Z35">
            <v>0</v>
          </cell>
        </row>
        <row r="36">
          <cell r="M36">
            <v>0</v>
          </cell>
          <cell r="T36">
            <v>0</v>
          </cell>
          <cell r="Z36">
            <v>0</v>
          </cell>
        </row>
        <row r="37">
          <cell r="M37">
            <v>0</v>
          </cell>
          <cell r="T37">
            <v>0</v>
          </cell>
          <cell r="Z37">
            <v>1</v>
          </cell>
        </row>
        <row r="38">
          <cell r="M38">
            <v>0</v>
          </cell>
          <cell r="T38">
            <v>0</v>
          </cell>
          <cell r="Z38">
            <v>1</v>
          </cell>
        </row>
        <row r="39">
          <cell r="M39">
            <v>0</v>
          </cell>
          <cell r="T39">
            <v>0</v>
          </cell>
          <cell r="Z39">
            <v>0</v>
          </cell>
        </row>
        <row r="40">
          <cell r="M40">
            <v>0</v>
          </cell>
          <cell r="T40">
            <v>0</v>
          </cell>
          <cell r="Z40">
            <v>1</v>
          </cell>
        </row>
        <row r="41">
          <cell r="M41">
            <v>0</v>
          </cell>
          <cell r="T41">
            <v>0</v>
          </cell>
          <cell r="Z41">
            <v>0</v>
          </cell>
        </row>
        <row r="42">
          <cell r="M42">
            <v>0</v>
          </cell>
          <cell r="T42">
            <v>0</v>
          </cell>
          <cell r="Z42">
            <v>0</v>
          </cell>
        </row>
        <row r="43">
          <cell r="M43">
            <v>0</v>
          </cell>
          <cell r="T43">
            <v>0</v>
          </cell>
          <cell r="Z43">
            <v>1</v>
          </cell>
        </row>
        <row r="44">
          <cell r="M44">
            <v>0</v>
          </cell>
          <cell r="T44">
            <v>0</v>
          </cell>
          <cell r="Z44">
            <v>0</v>
          </cell>
        </row>
        <row r="45">
          <cell r="M45">
            <v>0</v>
          </cell>
          <cell r="T45">
            <v>0</v>
          </cell>
          <cell r="Z45">
            <v>0</v>
          </cell>
        </row>
        <row r="46">
          <cell r="M46">
            <v>0</v>
          </cell>
          <cell r="T46">
            <v>0</v>
          </cell>
          <cell r="Z46">
            <v>1</v>
          </cell>
        </row>
        <row r="47">
          <cell r="M47">
            <v>0</v>
          </cell>
          <cell r="T47">
            <v>0</v>
          </cell>
          <cell r="Z47">
            <v>0</v>
          </cell>
        </row>
        <row r="48">
          <cell r="M48">
            <v>0</v>
          </cell>
          <cell r="T48">
            <v>0</v>
          </cell>
          <cell r="Z48">
            <v>1</v>
          </cell>
        </row>
        <row r="49">
          <cell r="M49">
            <v>0</v>
          </cell>
          <cell r="T49">
            <v>0</v>
          </cell>
          <cell r="Z49">
            <v>0</v>
          </cell>
        </row>
        <row r="50">
          <cell r="M50">
            <v>0</v>
          </cell>
          <cell r="T50">
            <v>0</v>
          </cell>
          <cell r="Z50">
            <v>0</v>
          </cell>
        </row>
        <row r="51">
          <cell r="M51">
            <v>0</v>
          </cell>
          <cell r="T51">
            <v>0</v>
          </cell>
          <cell r="Z51">
            <v>1</v>
          </cell>
        </row>
        <row r="52">
          <cell r="M52">
            <v>0</v>
          </cell>
          <cell r="T52">
            <v>0</v>
          </cell>
          <cell r="Z52">
            <v>0</v>
          </cell>
        </row>
        <row r="53">
          <cell r="M53">
            <v>0</v>
          </cell>
          <cell r="T53">
            <v>0</v>
          </cell>
          <cell r="Z53">
            <v>0</v>
          </cell>
        </row>
        <row r="54">
          <cell r="M54">
            <v>0</v>
          </cell>
          <cell r="T54">
            <v>0</v>
          </cell>
          <cell r="Z54">
            <v>0</v>
          </cell>
        </row>
        <row r="55">
          <cell r="M55">
            <v>0</v>
          </cell>
          <cell r="T55">
            <v>0</v>
          </cell>
          <cell r="Z55">
            <v>1</v>
          </cell>
        </row>
        <row r="56">
          <cell r="M56">
            <v>0</v>
          </cell>
          <cell r="T56">
            <v>0</v>
          </cell>
          <cell r="Z56">
            <v>1</v>
          </cell>
        </row>
        <row r="57">
          <cell r="M57">
            <v>0</v>
          </cell>
          <cell r="T57">
            <v>0</v>
          </cell>
          <cell r="Z57">
            <v>0</v>
          </cell>
        </row>
        <row r="58">
          <cell r="M58">
            <v>0</v>
          </cell>
          <cell r="T58">
            <v>0</v>
          </cell>
          <cell r="Z58">
            <v>1</v>
          </cell>
        </row>
        <row r="59">
          <cell r="M59">
            <v>0</v>
          </cell>
          <cell r="T59">
            <v>0</v>
          </cell>
          <cell r="Z59">
            <v>0</v>
          </cell>
        </row>
        <row r="60">
          <cell r="M60">
            <v>0</v>
          </cell>
          <cell r="T60">
            <v>0</v>
          </cell>
          <cell r="Z60">
            <v>1</v>
          </cell>
        </row>
        <row r="61">
          <cell r="M61">
            <v>0</v>
          </cell>
          <cell r="T61">
            <v>0</v>
          </cell>
          <cell r="Z61">
            <v>1</v>
          </cell>
        </row>
        <row r="62">
          <cell r="M62">
            <v>0</v>
          </cell>
          <cell r="T62">
            <v>0</v>
          </cell>
          <cell r="Z62">
            <v>1</v>
          </cell>
        </row>
        <row r="63">
          <cell r="M63">
            <v>0</v>
          </cell>
          <cell r="T63">
            <v>0</v>
          </cell>
          <cell r="Z63">
            <v>1</v>
          </cell>
        </row>
        <row r="64">
          <cell r="M64">
            <v>0</v>
          </cell>
          <cell r="T64">
            <v>0</v>
          </cell>
          <cell r="Z64">
            <v>1</v>
          </cell>
        </row>
        <row r="65">
          <cell r="M65">
            <v>0</v>
          </cell>
          <cell r="T65">
            <v>0</v>
          </cell>
          <cell r="Z65">
            <v>1</v>
          </cell>
        </row>
        <row r="66">
          <cell r="M66">
            <v>0</v>
          </cell>
          <cell r="T66">
            <v>0</v>
          </cell>
          <cell r="Z66">
            <v>0</v>
          </cell>
        </row>
        <row r="67">
          <cell r="M67">
            <v>0</v>
          </cell>
          <cell r="T67">
            <v>0</v>
          </cell>
          <cell r="Z67">
            <v>0</v>
          </cell>
        </row>
        <row r="68">
          <cell r="M68">
            <v>0</v>
          </cell>
          <cell r="T68">
            <v>0</v>
          </cell>
          <cell r="Z68">
            <v>0</v>
          </cell>
        </row>
        <row r="69">
          <cell r="M69">
            <v>0</v>
          </cell>
          <cell r="T69">
            <v>0</v>
          </cell>
          <cell r="Z69">
            <v>0</v>
          </cell>
        </row>
        <row r="70">
          <cell r="M70">
            <v>0</v>
          </cell>
          <cell r="T70">
            <v>0</v>
          </cell>
          <cell r="Z70">
            <v>0</v>
          </cell>
        </row>
        <row r="71">
          <cell r="M71">
            <v>0</v>
          </cell>
          <cell r="T71">
            <v>0</v>
          </cell>
          <cell r="Z71">
            <v>0</v>
          </cell>
        </row>
        <row r="72">
          <cell r="M72">
            <v>0</v>
          </cell>
          <cell r="T72">
            <v>0</v>
          </cell>
          <cell r="Z72">
            <v>0</v>
          </cell>
        </row>
        <row r="73">
          <cell r="M73">
            <v>0</v>
          </cell>
          <cell r="T73">
            <v>0</v>
          </cell>
          <cell r="Z73">
            <v>0</v>
          </cell>
        </row>
        <row r="74">
          <cell r="M74">
            <v>0</v>
          </cell>
          <cell r="T74">
            <v>0</v>
          </cell>
          <cell r="Z74">
            <v>0</v>
          </cell>
        </row>
        <row r="75">
          <cell r="M75">
            <v>0</v>
          </cell>
          <cell r="T75">
            <v>0</v>
          </cell>
          <cell r="Z75">
            <v>0</v>
          </cell>
        </row>
        <row r="76">
          <cell r="M76">
            <v>0</v>
          </cell>
          <cell r="T76">
            <v>0</v>
          </cell>
          <cell r="Z76">
            <v>0</v>
          </cell>
        </row>
        <row r="77">
          <cell r="M77">
            <v>0</v>
          </cell>
          <cell r="T77">
            <v>0</v>
          </cell>
          <cell r="Z77">
            <v>0</v>
          </cell>
        </row>
        <row r="78">
          <cell r="M78">
            <v>0</v>
          </cell>
          <cell r="T78">
            <v>0</v>
          </cell>
          <cell r="Z78">
            <v>0</v>
          </cell>
        </row>
        <row r="79">
          <cell r="M79">
            <v>0</v>
          </cell>
          <cell r="T79">
            <v>0</v>
          </cell>
          <cell r="Z79">
            <v>0</v>
          </cell>
        </row>
        <row r="80">
          <cell r="M80">
            <v>0</v>
          </cell>
          <cell r="T80">
            <v>0</v>
          </cell>
          <cell r="Z80">
            <v>0</v>
          </cell>
        </row>
        <row r="81">
          <cell r="M81">
            <v>0</v>
          </cell>
          <cell r="T81">
            <v>0</v>
          </cell>
          <cell r="Z81">
            <v>0</v>
          </cell>
        </row>
        <row r="82">
          <cell r="M82">
            <v>0</v>
          </cell>
          <cell r="T82">
            <v>0</v>
          </cell>
          <cell r="Z82">
            <v>0</v>
          </cell>
        </row>
        <row r="83">
          <cell r="M83">
            <v>0</v>
          </cell>
          <cell r="T83">
            <v>0</v>
          </cell>
          <cell r="Z83">
            <v>0</v>
          </cell>
        </row>
        <row r="84">
          <cell r="M84">
            <v>0</v>
          </cell>
          <cell r="T84">
            <v>0</v>
          </cell>
          <cell r="Z84">
            <v>0</v>
          </cell>
        </row>
        <row r="85">
          <cell r="M85">
            <v>0</v>
          </cell>
          <cell r="T85">
            <v>0</v>
          </cell>
          <cell r="Z85">
            <v>0</v>
          </cell>
        </row>
        <row r="86">
          <cell r="M86">
            <v>0</v>
          </cell>
          <cell r="T86">
            <v>0</v>
          </cell>
          <cell r="Z86">
            <v>0</v>
          </cell>
        </row>
        <row r="87">
          <cell r="M87">
            <v>0</v>
          </cell>
          <cell r="T87">
            <v>0</v>
          </cell>
          <cell r="Z87">
            <v>0</v>
          </cell>
        </row>
        <row r="88">
          <cell r="M88">
            <v>0</v>
          </cell>
          <cell r="T88">
            <v>0</v>
          </cell>
          <cell r="Z88">
            <v>0</v>
          </cell>
        </row>
        <row r="89">
          <cell r="M89">
            <v>0</v>
          </cell>
          <cell r="T89">
            <v>0</v>
          </cell>
          <cell r="Z89">
            <v>0</v>
          </cell>
        </row>
        <row r="90">
          <cell r="M90">
            <v>0</v>
          </cell>
          <cell r="T90">
            <v>0</v>
          </cell>
          <cell r="Z90">
            <v>0</v>
          </cell>
        </row>
        <row r="91">
          <cell r="M91">
            <v>0</v>
          </cell>
          <cell r="T91">
            <v>0</v>
          </cell>
          <cell r="Z91">
            <v>0</v>
          </cell>
        </row>
        <row r="92">
          <cell r="M92">
            <v>0</v>
          </cell>
          <cell r="T92">
            <v>0</v>
          </cell>
          <cell r="Z92">
            <v>0</v>
          </cell>
        </row>
        <row r="93">
          <cell r="M93">
            <v>0</v>
          </cell>
          <cell r="T93">
            <v>0</v>
          </cell>
          <cell r="Z93">
            <v>0</v>
          </cell>
        </row>
        <row r="94">
          <cell r="M94">
            <v>0</v>
          </cell>
          <cell r="T94">
            <v>0</v>
          </cell>
          <cell r="Z94">
            <v>0</v>
          </cell>
        </row>
        <row r="95">
          <cell r="M95">
            <v>0</v>
          </cell>
          <cell r="T95">
            <v>0</v>
          </cell>
          <cell r="Z95">
            <v>0</v>
          </cell>
        </row>
        <row r="96">
          <cell r="M96">
            <v>0</v>
          </cell>
          <cell r="T96">
            <v>0</v>
          </cell>
          <cell r="Z96">
            <v>0</v>
          </cell>
        </row>
        <row r="97">
          <cell r="M97">
            <v>0</v>
          </cell>
          <cell r="T97">
            <v>0</v>
          </cell>
          <cell r="Z97">
            <v>0</v>
          </cell>
        </row>
        <row r="98">
          <cell r="M98">
            <v>0</v>
          </cell>
          <cell r="T98">
            <v>0</v>
          </cell>
          <cell r="Z98">
            <v>0</v>
          </cell>
        </row>
        <row r="99">
          <cell r="M99">
            <v>0</v>
          </cell>
          <cell r="T99">
            <v>0</v>
          </cell>
          <cell r="Z99">
            <v>0</v>
          </cell>
        </row>
        <row r="100">
          <cell r="M100">
            <v>0</v>
          </cell>
          <cell r="T100">
            <v>0</v>
          </cell>
          <cell r="Z100">
            <v>0</v>
          </cell>
        </row>
        <row r="101">
          <cell r="T101">
            <v>0</v>
          </cell>
          <cell r="Z101">
            <v>0</v>
          </cell>
        </row>
        <row r="102">
          <cell r="T102">
            <v>0</v>
          </cell>
          <cell r="Z102">
            <v>0</v>
          </cell>
        </row>
        <row r="103">
          <cell r="T103">
            <v>0</v>
          </cell>
          <cell r="Z103">
            <v>0</v>
          </cell>
        </row>
        <row r="104">
          <cell r="T104">
            <v>0</v>
          </cell>
          <cell r="Z104">
            <v>0</v>
          </cell>
        </row>
        <row r="105">
          <cell r="T105">
            <v>0</v>
          </cell>
          <cell r="Z105">
            <v>0</v>
          </cell>
        </row>
        <row r="106">
          <cell r="T106">
            <v>0</v>
          </cell>
          <cell r="Z106">
            <v>0</v>
          </cell>
        </row>
        <row r="107">
          <cell r="T107">
            <v>0</v>
          </cell>
          <cell r="Z107">
            <v>0</v>
          </cell>
        </row>
        <row r="108">
          <cell r="T108">
            <v>0</v>
          </cell>
          <cell r="Z108">
            <v>0</v>
          </cell>
        </row>
        <row r="109">
          <cell r="T109">
            <v>0</v>
          </cell>
          <cell r="Z109">
            <v>0</v>
          </cell>
        </row>
        <row r="110">
          <cell r="T110">
            <v>0</v>
          </cell>
          <cell r="Z110">
            <v>0</v>
          </cell>
        </row>
        <row r="111">
          <cell r="T111">
            <v>0</v>
          </cell>
          <cell r="Z111">
            <v>0</v>
          </cell>
        </row>
        <row r="112">
          <cell r="T112">
            <v>0</v>
          </cell>
          <cell r="Z112">
            <v>0</v>
          </cell>
        </row>
        <row r="113">
          <cell r="T113">
            <v>0</v>
          </cell>
          <cell r="Z113">
            <v>0</v>
          </cell>
        </row>
        <row r="114">
          <cell r="T114">
            <v>0</v>
          </cell>
          <cell r="Z114">
            <v>0</v>
          </cell>
        </row>
        <row r="115">
          <cell r="T115">
            <v>0</v>
          </cell>
          <cell r="Z115">
            <v>0</v>
          </cell>
        </row>
        <row r="116">
          <cell r="T116">
            <v>0</v>
          </cell>
          <cell r="Z116">
            <v>0</v>
          </cell>
        </row>
        <row r="117">
          <cell r="T117">
            <v>0</v>
          </cell>
          <cell r="Z117">
            <v>0</v>
          </cell>
        </row>
        <row r="118">
          <cell r="T118">
            <v>0</v>
          </cell>
          <cell r="Z118">
            <v>0</v>
          </cell>
        </row>
        <row r="119">
          <cell r="T119">
            <v>0</v>
          </cell>
          <cell r="Z119">
            <v>0</v>
          </cell>
        </row>
        <row r="120">
          <cell r="T120">
            <v>0</v>
          </cell>
          <cell r="Z120">
            <v>0</v>
          </cell>
        </row>
        <row r="121">
          <cell r="T121">
            <v>0</v>
          </cell>
          <cell r="Z121">
            <v>0</v>
          </cell>
        </row>
        <row r="122">
          <cell r="T122">
            <v>0</v>
          </cell>
          <cell r="Z122">
            <v>0</v>
          </cell>
        </row>
        <row r="123">
          <cell r="T123">
            <v>0</v>
          </cell>
          <cell r="Z123">
            <v>0</v>
          </cell>
        </row>
        <row r="124">
          <cell r="T124">
            <v>0</v>
          </cell>
          <cell r="Z124">
            <v>0</v>
          </cell>
        </row>
        <row r="125">
          <cell r="T125">
            <v>0</v>
          </cell>
          <cell r="Z125">
            <v>0</v>
          </cell>
        </row>
        <row r="126">
          <cell r="T126">
            <v>0</v>
          </cell>
          <cell r="Z126">
            <v>0</v>
          </cell>
        </row>
        <row r="127">
          <cell r="T127">
            <v>0</v>
          </cell>
          <cell r="Z127">
            <v>0</v>
          </cell>
        </row>
        <row r="128">
          <cell r="T128">
            <v>0</v>
          </cell>
          <cell r="Z128">
            <v>0</v>
          </cell>
        </row>
        <row r="129">
          <cell r="T129">
            <v>0</v>
          </cell>
          <cell r="Z129">
            <v>0</v>
          </cell>
        </row>
        <row r="130">
          <cell r="T130">
            <v>0</v>
          </cell>
          <cell r="Z130">
            <v>0</v>
          </cell>
        </row>
        <row r="131">
          <cell r="T131">
            <v>0</v>
          </cell>
          <cell r="Z131">
            <v>0</v>
          </cell>
        </row>
        <row r="132">
          <cell r="T132">
            <v>0</v>
          </cell>
          <cell r="Z132">
            <v>0</v>
          </cell>
        </row>
        <row r="133">
          <cell r="T133">
            <v>0</v>
          </cell>
          <cell r="Z133">
            <v>0</v>
          </cell>
        </row>
        <row r="134">
          <cell r="T134">
            <v>0</v>
          </cell>
          <cell r="Z134">
            <v>0</v>
          </cell>
        </row>
        <row r="135">
          <cell r="T135">
            <v>0</v>
          </cell>
          <cell r="Z135">
            <v>0</v>
          </cell>
        </row>
        <row r="136">
          <cell r="T136">
            <v>0</v>
          </cell>
          <cell r="Z136">
            <v>0</v>
          </cell>
        </row>
        <row r="137">
          <cell r="T137">
            <v>0</v>
          </cell>
          <cell r="Z137">
            <v>0</v>
          </cell>
        </row>
        <row r="138">
          <cell r="T138">
            <v>0</v>
          </cell>
          <cell r="Z138">
            <v>0</v>
          </cell>
        </row>
        <row r="139">
          <cell r="T139">
            <v>0</v>
          </cell>
          <cell r="Z139">
            <v>0</v>
          </cell>
        </row>
        <row r="140">
          <cell r="T140">
            <v>0</v>
          </cell>
          <cell r="Z140">
            <v>0</v>
          </cell>
        </row>
        <row r="141">
          <cell r="T141">
            <v>0</v>
          </cell>
          <cell r="Z141">
            <v>0</v>
          </cell>
        </row>
        <row r="142">
          <cell r="T142">
            <v>0</v>
          </cell>
          <cell r="Z142">
            <v>0</v>
          </cell>
        </row>
        <row r="143">
          <cell r="T143">
            <v>0</v>
          </cell>
          <cell r="Z143">
            <v>0</v>
          </cell>
        </row>
        <row r="144">
          <cell r="T144">
            <v>0</v>
          </cell>
          <cell r="Z144">
            <v>0</v>
          </cell>
        </row>
        <row r="145">
          <cell r="T145">
            <v>0</v>
          </cell>
          <cell r="Z145">
            <v>0</v>
          </cell>
        </row>
        <row r="146">
          <cell r="T146">
            <v>0</v>
          </cell>
          <cell r="Z146">
            <v>0</v>
          </cell>
        </row>
        <row r="147">
          <cell r="T147">
            <v>0</v>
          </cell>
          <cell r="Z147">
            <v>0</v>
          </cell>
        </row>
        <row r="148">
          <cell r="T148">
            <v>0</v>
          </cell>
          <cell r="Z148">
            <v>0</v>
          </cell>
        </row>
        <row r="149">
          <cell r="T149">
            <v>0</v>
          </cell>
          <cell r="Z149">
            <v>0</v>
          </cell>
        </row>
        <row r="150">
          <cell r="T150">
            <v>0</v>
          </cell>
          <cell r="Z150">
            <v>0</v>
          </cell>
        </row>
        <row r="151">
          <cell r="T151">
            <v>0</v>
          </cell>
          <cell r="Z151">
            <v>0</v>
          </cell>
        </row>
        <row r="152">
          <cell r="T152">
            <v>0</v>
          </cell>
          <cell r="Z152">
            <v>0</v>
          </cell>
        </row>
        <row r="153">
          <cell r="T153">
            <v>0</v>
          </cell>
          <cell r="Z153">
            <v>0</v>
          </cell>
        </row>
        <row r="154">
          <cell r="T154">
            <v>0</v>
          </cell>
          <cell r="Z154">
            <v>0</v>
          </cell>
        </row>
        <row r="155">
          <cell r="T155">
            <v>0</v>
          </cell>
          <cell r="Z155">
            <v>0</v>
          </cell>
        </row>
        <row r="156">
          <cell r="T156">
            <v>0</v>
          </cell>
          <cell r="Z156">
            <v>0</v>
          </cell>
        </row>
        <row r="157">
          <cell r="T157">
            <v>0</v>
          </cell>
          <cell r="Z157">
            <v>0</v>
          </cell>
        </row>
        <row r="158">
          <cell r="T158">
            <v>0</v>
          </cell>
          <cell r="Z158">
            <v>0</v>
          </cell>
        </row>
        <row r="159">
          <cell r="T159">
            <v>0</v>
          </cell>
          <cell r="Z159">
            <v>0</v>
          </cell>
        </row>
        <row r="160">
          <cell r="T160">
            <v>0</v>
          </cell>
          <cell r="Z160">
            <v>0</v>
          </cell>
        </row>
        <row r="161">
          <cell r="T161">
            <v>0</v>
          </cell>
          <cell r="Z161">
            <v>0</v>
          </cell>
        </row>
        <row r="162">
          <cell r="T162">
            <v>0</v>
          </cell>
          <cell r="Z162">
            <v>0</v>
          </cell>
        </row>
        <row r="163">
          <cell r="T163">
            <v>0</v>
          </cell>
          <cell r="Z163">
            <v>0</v>
          </cell>
        </row>
        <row r="164">
          <cell r="T164">
            <v>0</v>
          </cell>
          <cell r="Z164">
            <v>0</v>
          </cell>
        </row>
        <row r="165">
          <cell r="T165">
            <v>0</v>
          </cell>
          <cell r="Z165">
            <v>0</v>
          </cell>
        </row>
        <row r="166">
          <cell r="T166">
            <v>0</v>
          </cell>
          <cell r="Z166">
            <v>0</v>
          </cell>
        </row>
        <row r="167">
          <cell r="T167">
            <v>0</v>
          </cell>
          <cell r="Z167">
            <v>0</v>
          </cell>
        </row>
        <row r="168">
          <cell r="T168">
            <v>0</v>
          </cell>
          <cell r="Z168">
            <v>0</v>
          </cell>
        </row>
        <row r="169">
          <cell r="T169">
            <v>0</v>
          </cell>
          <cell r="Z169">
            <v>0</v>
          </cell>
        </row>
        <row r="170">
          <cell r="T170">
            <v>0</v>
          </cell>
          <cell r="Z170">
            <v>0</v>
          </cell>
        </row>
        <row r="171">
          <cell r="T171">
            <v>0</v>
          </cell>
          <cell r="Z171">
            <v>0</v>
          </cell>
        </row>
        <row r="172">
          <cell r="T172">
            <v>0</v>
          </cell>
          <cell r="Z172">
            <v>0</v>
          </cell>
        </row>
        <row r="173">
          <cell r="T173">
            <v>0</v>
          </cell>
          <cell r="Z173">
            <v>0</v>
          </cell>
        </row>
        <row r="174">
          <cell r="T174">
            <v>0</v>
          </cell>
          <cell r="Z174">
            <v>0</v>
          </cell>
        </row>
        <row r="175">
          <cell r="T175">
            <v>0</v>
          </cell>
          <cell r="Z175">
            <v>0</v>
          </cell>
        </row>
        <row r="176">
          <cell r="T176">
            <v>0</v>
          </cell>
          <cell r="Z176">
            <v>0</v>
          </cell>
        </row>
        <row r="177">
          <cell r="T177">
            <v>0</v>
          </cell>
          <cell r="Z177">
            <v>0</v>
          </cell>
        </row>
        <row r="178">
          <cell r="T178">
            <v>0</v>
          </cell>
          <cell r="Z178">
            <v>0</v>
          </cell>
        </row>
        <row r="179">
          <cell r="T179">
            <v>0</v>
          </cell>
          <cell r="Z179">
            <v>0</v>
          </cell>
        </row>
        <row r="180">
          <cell r="T180">
            <v>0</v>
          </cell>
          <cell r="Z180">
            <v>0</v>
          </cell>
        </row>
        <row r="181">
          <cell r="T181">
            <v>0</v>
          </cell>
          <cell r="Z181">
            <v>0</v>
          </cell>
        </row>
        <row r="182">
          <cell r="T182">
            <v>0</v>
          </cell>
          <cell r="Z182">
            <v>0</v>
          </cell>
        </row>
        <row r="183">
          <cell r="T183">
            <v>0</v>
          </cell>
          <cell r="Z183">
            <v>0</v>
          </cell>
        </row>
        <row r="184">
          <cell r="T184">
            <v>0</v>
          </cell>
          <cell r="Z184">
            <v>0</v>
          </cell>
        </row>
        <row r="185">
          <cell r="T185">
            <v>0</v>
          </cell>
          <cell r="Z185">
            <v>0</v>
          </cell>
        </row>
        <row r="186">
          <cell r="T186">
            <v>0</v>
          </cell>
          <cell r="Z186">
            <v>0</v>
          </cell>
        </row>
        <row r="187">
          <cell r="T187">
            <v>0</v>
          </cell>
          <cell r="Z187">
            <v>0</v>
          </cell>
        </row>
        <row r="188">
          <cell r="T188">
            <v>0</v>
          </cell>
          <cell r="Z188">
            <v>0</v>
          </cell>
        </row>
        <row r="189">
          <cell r="T189">
            <v>0</v>
          </cell>
          <cell r="Z189">
            <v>0</v>
          </cell>
        </row>
        <row r="190">
          <cell r="T190">
            <v>0</v>
          </cell>
          <cell r="Z190">
            <v>0</v>
          </cell>
        </row>
        <row r="191">
          <cell r="T191">
            <v>0</v>
          </cell>
          <cell r="Z191">
            <v>0</v>
          </cell>
        </row>
        <row r="192">
          <cell r="T192">
            <v>0</v>
          </cell>
          <cell r="Z192">
            <v>0</v>
          </cell>
        </row>
        <row r="193">
          <cell r="T193">
            <v>0</v>
          </cell>
          <cell r="Z193">
            <v>0</v>
          </cell>
        </row>
        <row r="194">
          <cell r="T194">
            <v>0</v>
          </cell>
          <cell r="Z194">
            <v>0</v>
          </cell>
        </row>
        <row r="195">
          <cell r="T195">
            <v>0</v>
          </cell>
          <cell r="Z195">
            <v>0</v>
          </cell>
        </row>
        <row r="196">
          <cell r="T196">
            <v>0</v>
          </cell>
          <cell r="Z196">
            <v>0</v>
          </cell>
        </row>
        <row r="197">
          <cell r="T197">
            <v>0</v>
          </cell>
          <cell r="Z197">
            <v>0</v>
          </cell>
        </row>
        <row r="198">
          <cell r="T198">
            <v>0</v>
          </cell>
          <cell r="Z198">
            <v>0</v>
          </cell>
        </row>
        <row r="199">
          <cell r="T199">
            <v>0</v>
          </cell>
          <cell r="Z199">
            <v>0</v>
          </cell>
        </row>
        <row r="200">
          <cell r="T200">
            <v>0</v>
          </cell>
          <cell r="Z200">
            <v>0</v>
          </cell>
        </row>
        <row r="201">
          <cell r="T201">
            <v>0</v>
          </cell>
          <cell r="Z201">
            <v>0</v>
          </cell>
        </row>
        <row r="202">
          <cell r="T202">
            <v>0</v>
          </cell>
          <cell r="Z202">
            <v>0</v>
          </cell>
        </row>
        <row r="203">
          <cell r="T203">
            <v>0</v>
          </cell>
          <cell r="Z203">
            <v>0</v>
          </cell>
        </row>
        <row r="204">
          <cell r="T204">
            <v>0</v>
          </cell>
          <cell r="Z204">
            <v>0</v>
          </cell>
        </row>
        <row r="205">
          <cell r="T205">
            <v>0</v>
          </cell>
          <cell r="Z205">
            <v>0</v>
          </cell>
        </row>
        <row r="206">
          <cell r="T206">
            <v>0</v>
          </cell>
          <cell r="Z206">
            <v>0</v>
          </cell>
        </row>
        <row r="207">
          <cell r="T207">
            <v>0</v>
          </cell>
          <cell r="Z207">
            <v>0</v>
          </cell>
        </row>
        <row r="208">
          <cell r="T208">
            <v>0</v>
          </cell>
          <cell r="Z208">
            <v>0</v>
          </cell>
        </row>
        <row r="209">
          <cell r="T209">
            <v>0</v>
          </cell>
          <cell r="Z209">
            <v>0</v>
          </cell>
        </row>
        <row r="210">
          <cell r="T210">
            <v>0</v>
          </cell>
          <cell r="Z210">
            <v>0</v>
          </cell>
        </row>
        <row r="211">
          <cell r="T211">
            <v>0</v>
          </cell>
          <cell r="Z211">
            <v>0</v>
          </cell>
        </row>
        <row r="212">
          <cell r="T212">
            <v>0</v>
          </cell>
          <cell r="Z212">
            <v>0</v>
          </cell>
        </row>
        <row r="213">
          <cell r="T213">
            <v>0</v>
          </cell>
          <cell r="Z213">
            <v>0</v>
          </cell>
        </row>
        <row r="214">
          <cell r="T214">
            <v>0</v>
          </cell>
          <cell r="Z214">
            <v>0</v>
          </cell>
        </row>
        <row r="215">
          <cell r="T215">
            <v>0</v>
          </cell>
          <cell r="Z215">
            <v>0</v>
          </cell>
        </row>
        <row r="216">
          <cell r="T216">
            <v>0</v>
          </cell>
          <cell r="Z216">
            <v>0</v>
          </cell>
        </row>
        <row r="217">
          <cell r="T217">
            <v>0</v>
          </cell>
          <cell r="Z217">
            <v>0</v>
          </cell>
        </row>
        <row r="218">
          <cell r="T218">
            <v>0</v>
          </cell>
          <cell r="Z218">
            <v>0</v>
          </cell>
        </row>
        <row r="219">
          <cell r="T219">
            <v>0</v>
          </cell>
          <cell r="Z219">
            <v>0</v>
          </cell>
        </row>
        <row r="220">
          <cell r="T220">
            <v>0</v>
          </cell>
          <cell r="Z220">
            <v>0</v>
          </cell>
        </row>
        <row r="221">
          <cell r="T221">
            <v>0</v>
          </cell>
          <cell r="Z221">
            <v>0</v>
          </cell>
        </row>
        <row r="222">
          <cell r="T222">
            <v>0</v>
          </cell>
          <cell r="Z222">
            <v>0</v>
          </cell>
        </row>
        <row r="223">
          <cell r="T223">
            <v>0</v>
          </cell>
          <cell r="Z223">
            <v>0</v>
          </cell>
        </row>
        <row r="224">
          <cell r="T224">
            <v>0</v>
          </cell>
          <cell r="Z224">
            <v>0</v>
          </cell>
        </row>
        <row r="225">
          <cell r="T225">
            <v>0</v>
          </cell>
          <cell r="Z225">
            <v>0</v>
          </cell>
        </row>
        <row r="226">
          <cell r="T226">
            <v>0</v>
          </cell>
          <cell r="Z226">
            <v>0</v>
          </cell>
        </row>
        <row r="227">
          <cell r="T227">
            <v>0</v>
          </cell>
          <cell r="Z227">
            <v>0</v>
          </cell>
        </row>
        <row r="228">
          <cell r="T228">
            <v>0</v>
          </cell>
          <cell r="Z228">
            <v>0</v>
          </cell>
        </row>
        <row r="229">
          <cell r="T229">
            <v>0</v>
          </cell>
          <cell r="Z229">
            <v>0</v>
          </cell>
        </row>
        <row r="230">
          <cell r="T230">
            <v>0</v>
          </cell>
          <cell r="Z230">
            <v>0</v>
          </cell>
        </row>
        <row r="231">
          <cell r="T231">
            <v>0</v>
          </cell>
          <cell r="Z231">
            <v>0</v>
          </cell>
        </row>
        <row r="232">
          <cell r="T232">
            <v>0</v>
          </cell>
          <cell r="Z232">
            <v>0</v>
          </cell>
        </row>
        <row r="233">
          <cell r="T233">
            <v>0</v>
          </cell>
          <cell r="Z233">
            <v>0</v>
          </cell>
        </row>
        <row r="234">
          <cell r="T234">
            <v>0</v>
          </cell>
          <cell r="Z234">
            <v>0</v>
          </cell>
        </row>
        <row r="235">
          <cell r="T235">
            <v>0</v>
          </cell>
          <cell r="Z235">
            <v>0</v>
          </cell>
        </row>
        <row r="236">
          <cell r="T236">
            <v>0</v>
          </cell>
          <cell r="Z236">
            <v>0</v>
          </cell>
        </row>
        <row r="237">
          <cell r="T237">
            <v>0</v>
          </cell>
          <cell r="Z237">
            <v>0</v>
          </cell>
        </row>
        <row r="238">
          <cell r="T238">
            <v>0</v>
          </cell>
          <cell r="Z238">
            <v>0</v>
          </cell>
        </row>
        <row r="239">
          <cell r="T239">
            <v>0</v>
          </cell>
          <cell r="Z239">
            <v>0</v>
          </cell>
        </row>
        <row r="240">
          <cell r="T240">
            <v>0</v>
          </cell>
          <cell r="Z240">
            <v>0</v>
          </cell>
        </row>
        <row r="241">
          <cell r="T241">
            <v>0</v>
          </cell>
          <cell r="Z241">
            <v>0</v>
          </cell>
        </row>
        <row r="242">
          <cell r="T242">
            <v>0</v>
          </cell>
          <cell r="Z242">
            <v>0</v>
          </cell>
        </row>
        <row r="243">
          <cell r="T243">
            <v>0</v>
          </cell>
          <cell r="Z243">
            <v>0</v>
          </cell>
        </row>
        <row r="244">
          <cell r="T244">
            <v>0</v>
          </cell>
          <cell r="Z244">
            <v>0</v>
          </cell>
        </row>
        <row r="245">
          <cell r="T245">
            <v>0</v>
          </cell>
          <cell r="Z245">
            <v>0</v>
          </cell>
        </row>
        <row r="246">
          <cell r="T246">
            <v>0</v>
          </cell>
          <cell r="Z246">
            <v>0</v>
          </cell>
        </row>
        <row r="247">
          <cell r="T247">
            <v>0</v>
          </cell>
          <cell r="Z247">
            <v>0</v>
          </cell>
        </row>
        <row r="248">
          <cell r="T248">
            <v>0</v>
          </cell>
          <cell r="Z248">
            <v>0</v>
          </cell>
        </row>
        <row r="249">
          <cell r="T249">
            <v>0</v>
          </cell>
          <cell r="Z249">
            <v>0</v>
          </cell>
        </row>
        <row r="250">
          <cell r="T250">
            <v>0</v>
          </cell>
          <cell r="Z250">
            <v>0</v>
          </cell>
        </row>
        <row r="251">
          <cell r="T251">
            <v>0</v>
          </cell>
          <cell r="Z251">
            <v>0</v>
          </cell>
        </row>
        <row r="252">
          <cell r="T252">
            <v>0</v>
          </cell>
          <cell r="Z252">
            <v>0</v>
          </cell>
        </row>
        <row r="253">
          <cell r="T253">
            <v>0</v>
          </cell>
          <cell r="Z253">
            <v>0</v>
          </cell>
        </row>
        <row r="254">
          <cell r="T254">
            <v>0</v>
          </cell>
          <cell r="Z254">
            <v>0</v>
          </cell>
        </row>
        <row r="255">
          <cell r="T255">
            <v>0</v>
          </cell>
          <cell r="Z255">
            <v>0</v>
          </cell>
        </row>
        <row r="256">
          <cell r="T256">
            <v>0</v>
          </cell>
          <cell r="Z256">
            <v>0</v>
          </cell>
        </row>
        <row r="257">
          <cell r="T257">
            <v>0</v>
          </cell>
          <cell r="Z257">
            <v>0</v>
          </cell>
        </row>
        <row r="258">
          <cell r="T258">
            <v>0</v>
          </cell>
          <cell r="Z258">
            <v>0</v>
          </cell>
        </row>
        <row r="259">
          <cell r="T259">
            <v>0</v>
          </cell>
          <cell r="Z259">
            <v>0</v>
          </cell>
        </row>
        <row r="260">
          <cell r="T260">
            <v>0</v>
          </cell>
          <cell r="Z260">
            <v>0</v>
          </cell>
        </row>
        <row r="261">
          <cell r="T261">
            <v>0</v>
          </cell>
          <cell r="Z261">
            <v>0</v>
          </cell>
        </row>
        <row r="262">
          <cell r="T262">
            <v>0</v>
          </cell>
          <cell r="Z262">
            <v>0</v>
          </cell>
        </row>
        <row r="263">
          <cell r="T263">
            <v>0</v>
          </cell>
          <cell r="Z263">
            <v>0</v>
          </cell>
        </row>
        <row r="264">
          <cell r="T264">
            <v>0</v>
          </cell>
          <cell r="Z264">
            <v>0</v>
          </cell>
        </row>
        <row r="265">
          <cell r="T265">
            <v>0</v>
          </cell>
          <cell r="Z265">
            <v>0</v>
          </cell>
        </row>
        <row r="266">
          <cell r="T266">
            <v>0</v>
          </cell>
          <cell r="Z266">
            <v>0</v>
          </cell>
        </row>
        <row r="267">
          <cell r="T267">
            <v>0</v>
          </cell>
          <cell r="Z267">
            <v>0</v>
          </cell>
        </row>
        <row r="268">
          <cell r="T268">
            <v>0</v>
          </cell>
          <cell r="Z268">
            <v>0</v>
          </cell>
        </row>
        <row r="269">
          <cell r="T269">
            <v>0</v>
          </cell>
          <cell r="Z269">
            <v>0</v>
          </cell>
        </row>
        <row r="270">
          <cell r="T270">
            <v>0</v>
          </cell>
          <cell r="Z270">
            <v>0</v>
          </cell>
        </row>
        <row r="271">
          <cell r="T271">
            <v>0</v>
          </cell>
          <cell r="Z271">
            <v>0</v>
          </cell>
        </row>
        <row r="272">
          <cell r="T272">
            <v>0</v>
          </cell>
          <cell r="Z272">
            <v>0</v>
          </cell>
        </row>
        <row r="273">
          <cell r="T273">
            <v>0</v>
          </cell>
          <cell r="Z273">
            <v>0</v>
          </cell>
        </row>
        <row r="274">
          <cell r="T274">
            <v>0</v>
          </cell>
          <cell r="Z274">
            <v>0</v>
          </cell>
        </row>
        <row r="275">
          <cell r="T275">
            <v>0</v>
          </cell>
          <cell r="Z275">
            <v>0</v>
          </cell>
        </row>
        <row r="276">
          <cell r="T276">
            <v>0</v>
          </cell>
          <cell r="Z276">
            <v>0</v>
          </cell>
        </row>
        <row r="277">
          <cell r="T277">
            <v>0</v>
          </cell>
          <cell r="Z277">
            <v>0</v>
          </cell>
        </row>
        <row r="278">
          <cell r="T278">
            <v>0</v>
          </cell>
          <cell r="Z278">
            <v>0</v>
          </cell>
        </row>
        <row r="279">
          <cell r="T279">
            <v>0</v>
          </cell>
          <cell r="Z279">
            <v>0</v>
          </cell>
        </row>
        <row r="280">
          <cell r="T280">
            <v>0</v>
          </cell>
          <cell r="Z280">
            <v>0</v>
          </cell>
        </row>
        <row r="281">
          <cell r="T281">
            <v>0</v>
          </cell>
          <cell r="Z281">
            <v>0</v>
          </cell>
        </row>
        <row r="282">
          <cell r="T282">
            <v>0</v>
          </cell>
          <cell r="Z282">
            <v>0</v>
          </cell>
        </row>
        <row r="283">
          <cell r="T283">
            <v>0</v>
          </cell>
          <cell r="Z283">
            <v>0</v>
          </cell>
        </row>
        <row r="284">
          <cell r="T284">
            <v>0</v>
          </cell>
          <cell r="Z284">
            <v>0</v>
          </cell>
        </row>
        <row r="285">
          <cell r="T285">
            <v>0</v>
          </cell>
          <cell r="Z285">
            <v>0</v>
          </cell>
        </row>
        <row r="286">
          <cell r="T286">
            <v>0</v>
          </cell>
          <cell r="Z286">
            <v>0</v>
          </cell>
        </row>
        <row r="287">
          <cell r="T287">
            <v>0</v>
          </cell>
          <cell r="Z287">
            <v>0</v>
          </cell>
        </row>
        <row r="288">
          <cell r="T288">
            <v>0</v>
          </cell>
          <cell r="Z288">
            <v>0</v>
          </cell>
        </row>
        <row r="289">
          <cell r="T289">
            <v>0</v>
          </cell>
          <cell r="Z289">
            <v>0</v>
          </cell>
        </row>
        <row r="290">
          <cell r="T290">
            <v>0</v>
          </cell>
          <cell r="Z290">
            <v>0</v>
          </cell>
        </row>
        <row r="291">
          <cell r="T291">
            <v>0</v>
          </cell>
          <cell r="Z291">
            <v>0</v>
          </cell>
        </row>
        <row r="292">
          <cell r="T292">
            <v>0</v>
          </cell>
          <cell r="Z292">
            <v>0</v>
          </cell>
        </row>
        <row r="293">
          <cell r="T293">
            <v>0</v>
          </cell>
          <cell r="Z293">
            <v>0</v>
          </cell>
        </row>
        <row r="294">
          <cell r="T294">
            <v>0</v>
          </cell>
          <cell r="Z294">
            <v>0</v>
          </cell>
        </row>
        <row r="295">
          <cell r="T295">
            <v>0</v>
          </cell>
          <cell r="Z295">
            <v>0</v>
          </cell>
        </row>
        <row r="296">
          <cell r="T296">
            <v>0</v>
          </cell>
          <cell r="Z296">
            <v>0</v>
          </cell>
        </row>
        <row r="297">
          <cell r="T297">
            <v>0</v>
          </cell>
          <cell r="Z297">
            <v>0</v>
          </cell>
        </row>
        <row r="298">
          <cell r="T298">
            <v>0</v>
          </cell>
          <cell r="Z298">
            <v>0</v>
          </cell>
        </row>
        <row r="299">
          <cell r="T299">
            <v>0</v>
          </cell>
          <cell r="Z299">
            <v>0</v>
          </cell>
        </row>
        <row r="300">
          <cell r="T300">
            <v>0</v>
          </cell>
          <cell r="Z300">
            <v>0</v>
          </cell>
        </row>
        <row r="301">
          <cell r="T301">
            <v>0</v>
          </cell>
          <cell r="Z301">
            <v>0</v>
          </cell>
        </row>
        <row r="302">
          <cell r="T302">
            <v>0</v>
          </cell>
          <cell r="Z302">
            <v>0</v>
          </cell>
        </row>
        <row r="303">
          <cell r="T303">
            <v>0</v>
          </cell>
          <cell r="Z303">
            <v>0</v>
          </cell>
        </row>
        <row r="304">
          <cell r="T304">
            <v>0</v>
          </cell>
          <cell r="Z304">
            <v>0</v>
          </cell>
        </row>
        <row r="305">
          <cell r="T305">
            <v>0</v>
          </cell>
          <cell r="Z305">
            <v>0</v>
          </cell>
        </row>
        <row r="306">
          <cell r="T306">
            <v>0</v>
          </cell>
          <cell r="Z306">
            <v>0</v>
          </cell>
        </row>
        <row r="307">
          <cell r="T307">
            <v>0</v>
          </cell>
          <cell r="Z307">
            <v>0</v>
          </cell>
        </row>
        <row r="308">
          <cell r="T308">
            <v>0</v>
          </cell>
          <cell r="Z308">
            <v>0</v>
          </cell>
        </row>
        <row r="309">
          <cell r="T309">
            <v>0</v>
          </cell>
          <cell r="Z309">
            <v>0</v>
          </cell>
        </row>
        <row r="310">
          <cell r="T310">
            <v>0</v>
          </cell>
          <cell r="Z310">
            <v>0</v>
          </cell>
        </row>
        <row r="311">
          <cell r="T311">
            <v>0</v>
          </cell>
          <cell r="Z311">
            <v>0</v>
          </cell>
        </row>
        <row r="312">
          <cell r="T312">
            <v>0</v>
          </cell>
          <cell r="Z312">
            <v>0</v>
          </cell>
        </row>
        <row r="313">
          <cell r="T313">
            <v>0</v>
          </cell>
          <cell r="Z313">
            <v>0</v>
          </cell>
        </row>
        <row r="314">
          <cell r="T314">
            <v>0</v>
          </cell>
          <cell r="Z314">
            <v>0</v>
          </cell>
        </row>
        <row r="315">
          <cell r="T315">
            <v>0</v>
          </cell>
          <cell r="Z315">
            <v>0</v>
          </cell>
        </row>
        <row r="316">
          <cell r="T316">
            <v>0</v>
          </cell>
          <cell r="Z316">
            <v>0</v>
          </cell>
        </row>
        <row r="317">
          <cell r="T317">
            <v>0</v>
          </cell>
          <cell r="Z317">
            <v>0</v>
          </cell>
        </row>
        <row r="318">
          <cell r="T318">
            <v>0</v>
          </cell>
          <cell r="Z318">
            <v>0</v>
          </cell>
        </row>
        <row r="319">
          <cell r="T319">
            <v>0</v>
          </cell>
          <cell r="Z319">
            <v>0</v>
          </cell>
        </row>
        <row r="320">
          <cell r="T320">
            <v>0</v>
          </cell>
          <cell r="Z320">
            <v>0</v>
          </cell>
        </row>
        <row r="321">
          <cell r="T321">
            <v>0</v>
          </cell>
          <cell r="Z321">
            <v>0</v>
          </cell>
        </row>
        <row r="322">
          <cell r="T322">
            <v>0</v>
          </cell>
          <cell r="Z322">
            <v>0</v>
          </cell>
        </row>
        <row r="323">
          <cell r="T323">
            <v>0</v>
          </cell>
          <cell r="Z323">
            <v>0</v>
          </cell>
        </row>
        <row r="324">
          <cell r="T324">
            <v>0</v>
          </cell>
          <cell r="Z324">
            <v>0</v>
          </cell>
        </row>
        <row r="325">
          <cell r="T325">
            <v>0</v>
          </cell>
          <cell r="Z325">
            <v>0</v>
          </cell>
        </row>
        <row r="326">
          <cell r="T326">
            <v>0</v>
          </cell>
          <cell r="Z326">
            <v>0</v>
          </cell>
        </row>
        <row r="327">
          <cell r="T327">
            <v>0</v>
          </cell>
          <cell r="Z327">
            <v>0</v>
          </cell>
        </row>
        <row r="328">
          <cell r="T328">
            <v>0</v>
          </cell>
          <cell r="Z328">
            <v>0</v>
          </cell>
        </row>
        <row r="329">
          <cell r="T329">
            <v>0</v>
          </cell>
          <cell r="Z329">
            <v>0</v>
          </cell>
        </row>
        <row r="330">
          <cell r="T330">
            <v>0</v>
          </cell>
          <cell r="Z330">
            <v>0</v>
          </cell>
        </row>
        <row r="331">
          <cell r="T331">
            <v>0</v>
          </cell>
          <cell r="Z331">
            <v>0</v>
          </cell>
        </row>
        <row r="332">
          <cell r="T332">
            <v>0</v>
          </cell>
          <cell r="Z332">
            <v>0</v>
          </cell>
        </row>
        <row r="333">
          <cell r="T333">
            <v>0</v>
          </cell>
          <cell r="Z333">
            <v>0</v>
          </cell>
        </row>
        <row r="334">
          <cell r="T334">
            <v>0</v>
          </cell>
          <cell r="Z334">
            <v>0</v>
          </cell>
        </row>
        <row r="335">
          <cell r="T335">
            <v>0</v>
          </cell>
          <cell r="Z335">
            <v>0</v>
          </cell>
        </row>
        <row r="336">
          <cell r="T336">
            <v>0</v>
          </cell>
          <cell r="Z336">
            <v>0</v>
          </cell>
        </row>
        <row r="337">
          <cell r="T337">
            <v>0</v>
          </cell>
          <cell r="Z337">
            <v>0</v>
          </cell>
        </row>
        <row r="338">
          <cell r="T338">
            <v>0</v>
          </cell>
          <cell r="Z338">
            <v>0</v>
          </cell>
        </row>
        <row r="339">
          <cell r="T339">
            <v>0</v>
          </cell>
          <cell r="Z339">
            <v>0</v>
          </cell>
        </row>
        <row r="340">
          <cell r="T340">
            <v>0</v>
          </cell>
          <cell r="Z340">
            <v>0</v>
          </cell>
        </row>
        <row r="341">
          <cell r="T341">
            <v>0</v>
          </cell>
          <cell r="Z341">
            <v>0</v>
          </cell>
        </row>
        <row r="342">
          <cell r="T342">
            <v>0</v>
          </cell>
          <cell r="Z342">
            <v>0</v>
          </cell>
        </row>
        <row r="343">
          <cell r="T343">
            <v>0</v>
          </cell>
          <cell r="Z343">
            <v>0</v>
          </cell>
        </row>
        <row r="344">
          <cell r="T344">
            <v>0</v>
          </cell>
          <cell r="Z344">
            <v>0</v>
          </cell>
        </row>
        <row r="345">
          <cell r="T345">
            <v>0</v>
          </cell>
          <cell r="Z345">
            <v>0</v>
          </cell>
        </row>
        <row r="346">
          <cell r="T346">
            <v>0</v>
          </cell>
          <cell r="Z346">
            <v>0</v>
          </cell>
        </row>
        <row r="347">
          <cell r="T347">
            <v>0</v>
          </cell>
          <cell r="Z347">
            <v>0</v>
          </cell>
        </row>
        <row r="348">
          <cell r="T348">
            <v>0</v>
          </cell>
          <cell r="Z348">
            <v>0</v>
          </cell>
        </row>
        <row r="349">
          <cell r="T349">
            <v>0</v>
          </cell>
          <cell r="Z349">
            <v>0</v>
          </cell>
        </row>
        <row r="350">
          <cell r="T350">
            <v>0</v>
          </cell>
          <cell r="Z350">
            <v>0</v>
          </cell>
        </row>
        <row r="351">
          <cell r="T351">
            <v>0</v>
          </cell>
          <cell r="Z351">
            <v>0</v>
          </cell>
        </row>
        <row r="352">
          <cell r="T352">
            <v>0</v>
          </cell>
          <cell r="Z352">
            <v>0</v>
          </cell>
        </row>
        <row r="353">
          <cell r="T353">
            <v>0</v>
          </cell>
          <cell r="Z353">
            <v>0</v>
          </cell>
        </row>
        <row r="354">
          <cell r="T354">
            <v>0</v>
          </cell>
          <cell r="Z354">
            <v>0</v>
          </cell>
        </row>
        <row r="355">
          <cell r="T355">
            <v>0</v>
          </cell>
          <cell r="Z355">
            <v>0</v>
          </cell>
        </row>
        <row r="356">
          <cell r="T356">
            <v>0</v>
          </cell>
          <cell r="Z356">
            <v>0</v>
          </cell>
        </row>
        <row r="357">
          <cell r="T357">
            <v>0</v>
          </cell>
          <cell r="Z357">
            <v>0</v>
          </cell>
        </row>
        <row r="358">
          <cell r="T358">
            <v>0</v>
          </cell>
          <cell r="Z358">
            <v>0</v>
          </cell>
        </row>
        <row r="359">
          <cell r="T359">
            <v>0</v>
          </cell>
          <cell r="Z359">
            <v>0</v>
          </cell>
        </row>
        <row r="360">
          <cell r="T360">
            <v>0</v>
          </cell>
          <cell r="Z360">
            <v>0</v>
          </cell>
        </row>
        <row r="361">
          <cell r="T361">
            <v>0</v>
          </cell>
          <cell r="Z361">
            <v>0</v>
          </cell>
        </row>
        <row r="362">
          <cell r="T362">
            <v>0</v>
          </cell>
          <cell r="Z362">
            <v>0</v>
          </cell>
        </row>
        <row r="363">
          <cell r="T363">
            <v>0</v>
          </cell>
          <cell r="Z363">
            <v>0</v>
          </cell>
        </row>
        <row r="364">
          <cell r="T364">
            <v>0</v>
          </cell>
          <cell r="Z364">
            <v>0</v>
          </cell>
        </row>
        <row r="365">
          <cell r="T365">
            <v>0</v>
          </cell>
          <cell r="Z365">
            <v>0</v>
          </cell>
        </row>
        <row r="366">
          <cell r="T366">
            <v>0</v>
          </cell>
          <cell r="Z366">
            <v>0</v>
          </cell>
        </row>
        <row r="367">
          <cell r="T367">
            <v>0</v>
          </cell>
          <cell r="Z367">
            <v>0</v>
          </cell>
        </row>
        <row r="368">
          <cell r="T368">
            <v>0</v>
          </cell>
          <cell r="Z368">
            <v>0</v>
          </cell>
        </row>
        <row r="369">
          <cell r="T369">
            <v>0</v>
          </cell>
          <cell r="Z369">
            <v>0</v>
          </cell>
        </row>
        <row r="370">
          <cell r="T370">
            <v>0</v>
          </cell>
          <cell r="Z370">
            <v>0</v>
          </cell>
        </row>
        <row r="371">
          <cell r="T371">
            <v>0</v>
          </cell>
          <cell r="Z371">
            <v>0</v>
          </cell>
        </row>
        <row r="372">
          <cell r="T372">
            <v>0</v>
          </cell>
          <cell r="Z372">
            <v>0</v>
          </cell>
        </row>
        <row r="373">
          <cell r="T373">
            <v>0</v>
          </cell>
          <cell r="Z373">
            <v>0</v>
          </cell>
        </row>
        <row r="374">
          <cell r="T374">
            <v>0</v>
          </cell>
          <cell r="Z374">
            <v>0</v>
          </cell>
        </row>
        <row r="375">
          <cell r="T375">
            <v>0</v>
          </cell>
          <cell r="Z375">
            <v>0</v>
          </cell>
        </row>
        <row r="376">
          <cell r="T376">
            <v>0</v>
          </cell>
          <cell r="Z376">
            <v>0</v>
          </cell>
        </row>
        <row r="377">
          <cell r="T377">
            <v>0</v>
          </cell>
          <cell r="Z377">
            <v>0</v>
          </cell>
        </row>
        <row r="378">
          <cell r="T378">
            <v>0</v>
          </cell>
          <cell r="Z378">
            <v>0</v>
          </cell>
        </row>
        <row r="379">
          <cell r="T379">
            <v>0</v>
          </cell>
          <cell r="Z379">
            <v>0</v>
          </cell>
        </row>
        <row r="380">
          <cell r="T380">
            <v>0</v>
          </cell>
          <cell r="Z380">
            <v>0</v>
          </cell>
        </row>
        <row r="381">
          <cell r="T381">
            <v>0</v>
          </cell>
          <cell r="Z381">
            <v>0</v>
          </cell>
        </row>
        <row r="382">
          <cell r="T382">
            <v>0</v>
          </cell>
          <cell r="Z382">
            <v>0</v>
          </cell>
        </row>
        <row r="383">
          <cell r="T383">
            <v>0</v>
          </cell>
          <cell r="Z383">
            <v>0</v>
          </cell>
        </row>
        <row r="384">
          <cell r="T384">
            <v>0</v>
          </cell>
          <cell r="Z384">
            <v>0</v>
          </cell>
        </row>
        <row r="385">
          <cell r="T385">
            <v>0</v>
          </cell>
          <cell r="Z385">
            <v>0</v>
          </cell>
        </row>
        <row r="386">
          <cell r="T386">
            <v>0</v>
          </cell>
          <cell r="Z386">
            <v>0</v>
          </cell>
        </row>
        <row r="387">
          <cell r="T387">
            <v>0</v>
          </cell>
          <cell r="Z387">
            <v>0</v>
          </cell>
        </row>
        <row r="388">
          <cell r="T388">
            <v>0</v>
          </cell>
          <cell r="Z388">
            <v>0</v>
          </cell>
        </row>
        <row r="389">
          <cell r="T389">
            <v>0</v>
          </cell>
          <cell r="Z389">
            <v>0</v>
          </cell>
        </row>
        <row r="390">
          <cell r="T390">
            <v>0</v>
          </cell>
          <cell r="Z390">
            <v>0</v>
          </cell>
        </row>
        <row r="391">
          <cell r="T391">
            <v>0</v>
          </cell>
          <cell r="Z391">
            <v>0</v>
          </cell>
        </row>
        <row r="392">
          <cell r="T392">
            <v>0</v>
          </cell>
          <cell r="Z392">
            <v>0</v>
          </cell>
        </row>
        <row r="393">
          <cell r="T393">
            <v>0</v>
          </cell>
          <cell r="Z393">
            <v>0</v>
          </cell>
        </row>
        <row r="394">
          <cell r="T394">
            <v>0</v>
          </cell>
          <cell r="Z394">
            <v>0</v>
          </cell>
        </row>
        <row r="395">
          <cell r="T395">
            <v>0</v>
          </cell>
          <cell r="Z395">
            <v>0</v>
          </cell>
        </row>
        <row r="396">
          <cell r="T396">
            <v>0</v>
          </cell>
          <cell r="Z396">
            <v>0</v>
          </cell>
        </row>
        <row r="397">
          <cell r="T397">
            <v>0</v>
          </cell>
          <cell r="Z397">
            <v>0</v>
          </cell>
        </row>
        <row r="398">
          <cell r="T398">
            <v>0</v>
          </cell>
          <cell r="Z398">
            <v>0</v>
          </cell>
        </row>
        <row r="399">
          <cell r="T399">
            <v>0</v>
          </cell>
          <cell r="Z399">
            <v>0</v>
          </cell>
        </row>
        <row r="400">
          <cell r="T400">
            <v>0</v>
          </cell>
          <cell r="Z400">
            <v>0</v>
          </cell>
        </row>
        <row r="401">
          <cell r="T401">
            <v>0</v>
          </cell>
          <cell r="Z401">
            <v>0</v>
          </cell>
        </row>
        <row r="402">
          <cell r="T402">
            <v>0</v>
          </cell>
          <cell r="Z402">
            <v>0</v>
          </cell>
        </row>
        <row r="403">
          <cell r="T403">
            <v>0</v>
          </cell>
          <cell r="Z403">
            <v>0</v>
          </cell>
        </row>
        <row r="404">
          <cell r="T404">
            <v>0</v>
          </cell>
          <cell r="Z404">
            <v>0</v>
          </cell>
        </row>
        <row r="405">
          <cell r="T405">
            <v>0</v>
          </cell>
          <cell r="Z405">
            <v>0</v>
          </cell>
        </row>
        <row r="406">
          <cell r="T406">
            <v>0</v>
          </cell>
          <cell r="Z406">
            <v>0</v>
          </cell>
        </row>
        <row r="407">
          <cell r="T407">
            <v>0</v>
          </cell>
          <cell r="Z407">
            <v>0</v>
          </cell>
        </row>
        <row r="408">
          <cell r="T408">
            <v>0</v>
          </cell>
          <cell r="Z408">
            <v>0</v>
          </cell>
        </row>
        <row r="409">
          <cell r="T409">
            <v>0</v>
          </cell>
          <cell r="Z409">
            <v>0</v>
          </cell>
        </row>
        <row r="410">
          <cell r="T410">
            <v>0</v>
          </cell>
          <cell r="Z410">
            <v>0</v>
          </cell>
        </row>
        <row r="411">
          <cell r="T411">
            <v>0</v>
          </cell>
          <cell r="Z411">
            <v>0</v>
          </cell>
        </row>
        <row r="412">
          <cell r="T412">
            <v>0</v>
          </cell>
          <cell r="Z412">
            <v>0</v>
          </cell>
        </row>
        <row r="413">
          <cell r="T413">
            <v>0</v>
          </cell>
          <cell r="Z413">
            <v>0</v>
          </cell>
        </row>
        <row r="414">
          <cell r="T414">
            <v>0</v>
          </cell>
          <cell r="Z414">
            <v>0</v>
          </cell>
        </row>
        <row r="415">
          <cell r="T415">
            <v>0</v>
          </cell>
          <cell r="Z415">
            <v>0</v>
          </cell>
        </row>
        <row r="416">
          <cell r="T416">
            <v>0</v>
          </cell>
          <cell r="Z416">
            <v>0</v>
          </cell>
        </row>
        <row r="417">
          <cell r="T417">
            <v>0</v>
          </cell>
          <cell r="Z417">
            <v>0</v>
          </cell>
        </row>
        <row r="418">
          <cell r="T418">
            <v>0</v>
          </cell>
          <cell r="Z418">
            <v>0</v>
          </cell>
        </row>
        <row r="419">
          <cell r="T419">
            <v>0</v>
          </cell>
          <cell r="Z419">
            <v>0</v>
          </cell>
        </row>
        <row r="420">
          <cell r="T420">
            <v>0</v>
          </cell>
          <cell r="Z420">
            <v>0</v>
          </cell>
        </row>
        <row r="421">
          <cell r="T421">
            <v>0</v>
          </cell>
          <cell r="Z421">
            <v>0</v>
          </cell>
        </row>
        <row r="422">
          <cell r="T422">
            <v>0</v>
          </cell>
          <cell r="Z422">
            <v>0</v>
          </cell>
        </row>
        <row r="423">
          <cell r="T423">
            <v>0</v>
          </cell>
          <cell r="Z423">
            <v>0</v>
          </cell>
        </row>
        <row r="424">
          <cell r="T424">
            <v>0</v>
          </cell>
          <cell r="Z424">
            <v>0</v>
          </cell>
        </row>
        <row r="425">
          <cell r="T425">
            <v>0</v>
          </cell>
          <cell r="Z425">
            <v>0</v>
          </cell>
        </row>
        <row r="426">
          <cell r="T426">
            <v>0</v>
          </cell>
          <cell r="Z426">
            <v>0</v>
          </cell>
        </row>
        <row r="427">
          <cell r="T427">
            <v>0</v>
          </cell>
          <cell r="Z427">
            <v>0</v>
          </cell>
        </row>
        <row r="428">
          <cell r="T428">
            <v>0</v>
          </cell>
          <cell r="Z428">
            <v>0</v>
          </cell>
        </row>
        <row r="429">
          <cell r="T429">
            <v>0</v>
          </cell>
          <cell r="Z429">
            <v>0</v>
          </cell>
        </row>
        <row r="430">
          <cell r="T430">
            <v>0</v>
          </cell>
          <cell r="Z430">
            <v>0</v>
          </cell>
        </row>
        <row r="431">
          <cell r="T431">
            <v>0</v>
          </cell>
          <cell r="Z431">
            <v>0</v>
          </cell>
        </row>
        <row r="432">
          <cell r="T432">
            <v>0</v>
          </cell>
          <cell r="Z432">
            <v>0</v>
          </cell>
        </row>
        <row r="433">
          <cell r="T433">
            <v>0</v>
          </cell>
          <cell r="Z433">
            <v>0</v>
          </cell>
        </row>
        <row r="434">
          <cell r="T434">
            <v>0</v>
          </cell>
          <cell r="Z434">
            <v>0</v>
          </cell>
        </row>
        <row r="435">
          <cell r="T435">
            <v>0</v>
          </cell>
          <cell r="Z435">
            <v>0</v>
          </cell>
        </row>
        <row r="436">
          <cell r="T436">
            <v>0</v>
          </cell>
          <cell r="Z436">
            <v>0</v>
          </cell>
        </row>
        <row r="437">
          <cell r="T437">
            <v>0</v>
          </cell>
          <cell r="Z437">
            <v>0</v>
          </cell>
        </row>
        <row r="438">
          <cell r="T438">
            <v>0</v>
          </cell>
          <cell r="Z438">
            <v>0</v>
          </cell>
        </row>
        <row r="439">
          <cell r="T439">
            <v>0</v>
          </cell>
          <cell r="Z439">
            <v>0</v>
          </cell>
        </row>
        <row r="440">
          <cell r="T440">
            <v>0</v>
          </cell>
          <cell r="Z440">
            <v>0</v>
          </cell>
        </row>
        <row r="441">
          <cell r="T441">
            <v>0</v>
          </cell>
          <cell r="Z441">
            <v>0</v>
          </cell>
        </row>
        <row r="442">
          <cell r="T442">
            <v>0</v>
          </cell>
          <cell r="Z442">
            <v>0</v>
          </cell>
        </row>
        <row r="443">
          <cell r="T443">
            <v>0</v>
          </cell>
          <cell r="Z443">
            <v>0</v>
          </cell>
        </row>
        <row r="444">
          <cell r="T444">
            <v>0</v>
          </cell>
          <cell r="Z444">
            <v>0</v>
          </cell>
        </row>
        <row r="445">
          <cell r="T445">
            <v>0</v>
          </cell>
          <cell r="Z445">
            <v>0</v>
          </cell>
        </row>
        <row r="446">
          <cell r="T446">
            <v>0</v>
          </cell>
          <cell r="Z446">
            <v>0</v>
          </cell>
        </row>
        <row r="447">
          <cell r="T447">
            <v>0</v>
          </cell>
          <cell r="Z447">
            <v>0</v>
          </cell>
        </row>
        <row r="448">
          <cell r="T448">
            <v>0</v>
          </cell>
          <cell r="Z448">
            <v>0</v>
          </cell>
        </row>
        <row r="449">
          <cell r="T449">
            <v>0</v>
          </cell>
          <cell r="Z449">
            <v>0</v>
          </cell>
        </row>
        <row r="450">
          <cell r="T450">
            <v>0</v>
          </cell>
          <cell r="Z450">
            <v>0</v>
          </cell>
        </row>
        <row r="451">
          <cell r="T451">
            <v>0</v>
          </cell>
          <cell r="Z451">
            <v>0</v>
          </cell>
        </row>
        <row r="452">
          <cell r="T452">
            <v>0</v>
          </cell>
          <cell r="Z452">
            <v>0</v>
          </cell>
        </row>
        <row r="453">
          <cell r="T453">
            <v>0</v>
          </cell>
          <cell r="Z453">
            <v>0</v>
          </cell>
        </row>
        <row r="454">
          <cell r="T454">
            <v>0</v>
          </cell>
          <cell r="Z454">
            <v>0</v>
          </cell>
        </row>
        <row r="455">
          <cell r="T455">
            <v>0</v>
          </cell>
          <cell r="Z455">
            <v>0</v>
          </cell>
        </row>
        <row r="456">
          <cell r="T456">
            <v>0</v>
          </cell>
          <cell r="Z456">
            <v>0</v>
          </cell>
        </row>
        <row r="457">
          <cell r="T457">
            <v>0</v>
          </cell>
          <cell r="Z457">
            <v>0</v>
          </cell>
        </row>
        <row r="458">
          <cell r="T458">
            <v>0</v>
          </cell>
          <cell r="Z458">
            <v>0</v>
          </cell>
        </row>
        <row r="459">
          <cell r="T459">
            <v>0</v>
          </cell>
          <cell r="Z459">
            <v>0</v>
          </cell>
        </row>
        <row r="460">
          <cell r="T460">
            <v>0</v>
          </cell>
          <cell r="Z460">
            <v>0</v>
          </cell>
        </row>
        <row r="461">
          <cell r="T461">
            <v>0</v>
          </cell>
          <cell r="Z461">
            <v>0</v>
          </cell>
        </row>
        <row r="462">
          <cell r="T462">
            <v>0</v>
          </cell>
          <cell r="Z462">
            <v>0</v>
          </cell>
        </row>
        <row r="463">
          <cell r="T463">
            <v>0</v>
          </cell>
          <cell r="Z463">
            <v>0</v>
          </cell>
        </row>
        <row r="464">
          <cell r="T464">
            <v>0</v>
          </cell>
          <cell r="Z464">
            <v>0</v>
          </cell>
        </row>
        <row r="465">
          <cell r="T465">
            <v>0</v>
          </cell>
          <cell r="Z465">
            <v>0</v>
          </cell>
        </row>
        <row r="466">
          <cell r="T466">
            <v>0</v>
          </cell>
          <cell r="Z466">
            <v>0</v>
          </cell>
        </row>
        <row r="467">
          <cell r="T467">
            <v>0</v>
          </cell>
          <cell r="Z467">
            <v>0</v>
          </cell>
        </row>
        <row r="468">
          <cell r="T468">
            <v>0</v>
          </cell>
          <cell r="Z468">
            <v>0</v>
          </cell>
        </row>
        <row r="469">
          <cell r="T469">
            <v>0</v>
          </cell>
          <cell r="Z469">
            <v>0</v>
          </cell>
        </row>
        <row r="470">
          <cell r="T470">
            <v>0</v>
          </cell>
          <cell r="Z470">
            <v>0</v>
          </cell>
        </row>
        <row r="471">
          <cell r="T471">
            <v>0</v>
          </cell>
          <cell r="Z471">
            <v>0</v>
          </cell>
        </row>
        <row r="472">
          <cell r="T472">
            <v>0</v>
          </cell>
          <cell r="Z472">
            <v>0</v>
          </cell>
        </row>
        <row r="473">
          <cell r="T473">
            <v>0</v>
          </cell>
          <cell r="Z473">
            <v>0</v>
          </cell>
        </row>
        <row r="474">
          <cell r="T474">
            <v>0</v>
          </cell>
          <cell r="Z474">
            <v>0</v>
          </cell>
        </row>
        <row r="475">
          <cell r="T475">
            <v>0</v>
          </cell>
          <cell r="Z475">
            <v>0</v>
          </cell>
        </row>
        <row r="476">
          <cell r="T476">
            <v>0</v>
          </cell>
          <cell r="Z476">
            <v>0</v>
          </cell>
        </row>
        <row r="477">
          <cell r="T477">
            <v>0</v>
          </cell>
          <cell r="Z477">
            <v>0</v>
          </cell>
        </row>
        <row r="478">
          <cell r="T478">
            <v>0</v>
          </cell>
          <cell r="Z478">
            <v>0</v>
          </cell>
        </row>
        <row r="479">
          <cell r="T479">
            <v>0</v>
          </cell>
          <cell r="Z479">
            <v>0</v>
          </cell>
        </row>
        <row r="480">
          <cell r="T480">
            <v>0</v>
          </cell>
          <cell r="Z480">
            <v>0</v>
          </cell>
        </row>
        <row r="481">
          <cell r="T481">
            <v>0</v>
          </cell>
          <cell r="Z481">
            <v>0</v>
          </cell>
        </row>
        <row r="482">
          <cell r="T482">
            <v>0</v>
          </cell>
          <cell r="Z482">
            <v>0</v>
          </cell>
        </row>
        <row r="483">
          <cell r="T483">
            <v>0</v>
          </cell>
          <cell r="Z483">
            <v>0</v>
          </cell>
        </row>
        <row r="484">
          <cell r="T484">
            <v>0</v>
          </cell>
          <cell r="Z484">
            <v>0</v>
          </cell>
        </row>
        <row r="485">
          <cell r="T485">
            <v>0</v>
          </cell>
          <cell r="Z485">
            <v>0</v>
          </cell>
        </row>
        <row r="486">
          <cell r="T486">
            <v>0</v>
          </cell>
          <cell r="Z486">
            <v>0</v>
          </cell>
        </row>
        <row r="487">
          <cell r="T487">
            <v>0</v>
          </cell>
          <cell r="Z487">
            <v>0</v>
          </cell>
        </row>
        <row r="488">
          <cell r="T488">
            <v>0</v>
          </cell>
          <cell r="Z488">
            <v>0</v>
          </cell>
        </row>
        <row r="489">
          <cell r="T489">
            <v>0</v>
          </cell>
          <cell r="Z489">
            <v>0</v>
          </cell>
        </row>
        <row r="490">
          <cell r="T490">
            <v>0</v>
          </cell>
          <cell r="Z490">
            <v>0</v>
          </cell>
        </row>
        <row r="491">
          <cell r="T491">
            <v>0</v>
          </cell>
          <cell r="Z491">
            <v>0</v>
          </cell>
        </row>
        <row r="492">
          <cell r="T492">
            <v>0</v>
          </cell>
          <cell r="Z492">
            <v>0</v>
          </cell>
        </row>
        <row r="493">
          <cell r="T493">
            <v>0</v>
          </cell>
          <cell r="Z493">
            <v>0</v>
          </cell>
        </row>
        <row r="494">
          <cell r="T494">
            <v>0</v>
          </cell>
          <cell r="Z494">
            <v>0</v>
          </cell>
        </row>
        <row r="495">
          <cell r="T495">
            <v>0</v>
          </cell>
          <cell r="Z495">
            <v>0</v>
          </cell>
        </row>
        <row r="496">
          <cell r="T496">
            <v>0</v>
          </cell>
          <cell r="Z496">
            <v>0</v>
          </cell>
        </row>
        <row r="497">
          <cell r="T497">
            <v>0</v>
          </cell>
          <cell r="Z497">
            <v>0</v>
          </cell>
        </row>
        <row r="498">
          <cell r="T498">
            <v>0</v>
          </cell>
          <cell r="Z498">
            <v>0</v>
          </cell>
        </row>
        <row r="499">
          <cell r="T499">
            <v>0</v>
          </cell>
          <cell r="Z499">
            <v>0</v>
          </cell>
        </row>
        <row r="500">
          <cell r="T500">
            <v>0</v>
          </cell>
          <cell r="Z500">
            <v>0</v>
          </cell>
        </row>
        <row r="501">
          <cell r="T501">
            <v>0</v>
          </cell>
          <cell r="Z501">
            <v>0</v>
          </cell>
        </row>
        <row r="502">
          <cell r="T502">
            <v>0</v>
          </cell>
          <cell r="Z502">
            <v>0</v>
          </cell>
        </row>
        <row r="503">
          <cell r="T503">
            <v>0</v>
          </cell>
          <cell r="Z503">
            <v>0</v>
          </cell>
        </row>
        <row r="504">
          <cell r="T504">
            <v>0</v>
          </cell>
          <cell r="Z504">
            <v>0</v>
          </cell>
        </row>
        <row r="505">
          <cell r="T505">
            <v>0</v>
          </cell>
          <cell r="Z505">
            <v>0</v>
          </cell>
        </row>
        <row r="506">
          <cell r="T506">
            <v>0</v>
          </cell>
          <cell r="Z506">
            <v>0</v>
          </cell>
        </row>
        <row r="507">
          <cell r="T507">
            <v>0</v>
          </cell>
          <cell r="Z507">
            <v>0</v>
          </cell>
        </row>
        <row r="508">
          <cell r="T508">
            <v>0</v>
          </cell>
          <cell r="Z508">
            <v>0</v>
          </cell>
        </row>
        <row r="509">
          <cell r="T509">
            <v>0</v>
          </cell>
          <cell r="Z509">
            <v>0</v>
          </cell>
        </row>
        <row r="510">
          <cell r="T510">
            <v>0</v>
          </cell>
          <cell r="Z510">
            <v>0</v>
          </cell>
        </row>
        <row r="511">
          <cell r="T511">
            <v>0</v>
          </cell>
          <cell r="Z511">
            <v>0</v>
          </cell>
        </row>
        <row r="512">
          <cell r="T512">
            <v>0</v>
          </cell>
          <cell r="Z512">
            <v>0</v>
          </cell>
        </row>
        <row r="513">
          <cell r="T513">
            <v>0</v>
          </cell>
          <cell r="Z513">
            <v>0</v>
          </cell>
        </row>
        <row r="514">
          <cell r="T514">
            <v>0</v>
          </cell>
          <cell r="Z514">
            <v>0</v>
          </cell>
        </row>
        <row r="515">
          <cell r="T515">
            <v>0</v>
          </cell>
          <cell r="Z515">
            <v>0</v>
          </cell>
        </row>
        <row r="516">
          <cell r="T516">
            <v>0</v>
          </cell>
          <cell r="Z516">
            <v>0</v>
          </cell>
        </row>
        <row r="517">
          <cell r="T517">
            <v>0</v>
          </cell>
          <cell r="Z517">
            <v>0</v>
          </cell>
        </row>
        <row r="518">
          <cell r="T518">
            <v>0</v>
          </cell>
          <cell r="Z518">
            <v>0</v>
          </cell>
        </row>
        <row r="519">
          <cell r="T519">
            <v>0</v>
          </cell>
          <cell r="Z519">
            <v>0</v>
          </cell>
        </row>
        <row r="520">
          <cell r="T520">
            <v>0</v>
          </cell>
          <cell r="Z520">
            <v>0</v>
          </cell>
        </row>
        <row r="521">
          <cell r="T521">
            <v>0</v>
          </cell>
          <cell r="Z521">
            <v>0</v>
          </cell>
        </row>
        <row r="522">
          <cell r="T522">
            <v>0</v>
          </cell>
          <cell r="Z522">
            <v>0</v>
          </cell>
        </row>
        <row r="523">
          <cell r="T523">
            <v>0</v>
          </cell>
          <cell r="Z523">
            <v>0</v>
          </cell>
        </row>
        <row r="524">
          <cell r="T524">
            <v>0</v>
          </cell>
          <cell r="Z524">
            <v>0</v>
          </cell>
        </row>
        <row r="525">
          <cell r="T525">
            <v>0</v>
          </cell>
          <cell r="Z525">
            <v>0</v>
          </cell>
        </row>
        <row r="526">
          <cell r="T526">
            <v>0</v>
          </cell>
          <cell r="Z526">
            <v>0</v>
          </cell>
        </row>
        <row r="527">
          <cell r="T527">
            <v>0</v>
          </cell>
          <cell r="Z527">
            <v>0</v>
          </cell>
        </row>
        <row r="528">
          <cell r="T528">
            <v>0</v>
          </cell>
          <cell r="Z528">
            <v>0</v>
          </cell>
        </row>
        <row r="529">
          <cell r="T529">
            <v>0</v>
          </cell>
          <cell r="Z529">
            <v>0</v>
          </cell>
        </row>
        <row r="530">
          <cell r="T530">
            <v>0</v>
          </cell>
          <cell r="Z530">
            <v>0</v>
          </cell>
        </row>
        <row r="531">
          <cell r="T531">
            <v>0</v>
          </cell>
          <cell r="Z531">
            <v>0</v>
          </cell>
        </row>
        <row r="532">
          <cell r="T532">
            <v>0</v>
          </cell>
          <cell r="Z532">
            <v>0</v>
          </cell>
        </row>
        <row r="533">
          <cell r="T533">
            <v>0</v>
          </cell>
          <cell r="Z533">
            <v>0</v>
          </cell>
        </row>
        <row r="534">
          <cell r="T534">
            <v>0</v>
          </cell>
          <cell r="Z534">
            <v>0</v>
          </cell>
        </row>
        <row r="535">
          <cell r="T535">
            <v>0</v>
          </cell>
          <cell r="Z535">
            <v>0</v>
          </cell>
        </row>
        <row r="536">
          <cell r="T536">
            <v>0</v>
          </cell>
          <cell r="Z536">
            <v>0</v>
          </cell>
        </row>
        <row r="537">
          <cell r="T537">
            <v>0</v>
          </cell>
          <cell r="Z537">
            <v>0</v>
          </cell>
        </row>
        <row r="538">
          <cell r="T538">
            <v>0</v>
          </cell>
          <cell r="Z538">
            <v>0</v>
          </cell>
        </row>
        <row r="539">
          <cell r="T539">
            <v>0</v>
          </cell>
          <cell r="Z539">
            <v>0</v>
          </cell>
        </row>
        <row r="540">
          <cell r="T540">
            <v>0</v>
          </cell>
          <cell r="Z540">
            <v>0</v>
          </cell>
        </row>
        <row r="541">
          <cell r="T541">
            <v>0</v>
          </cell>
          <cell r="Z541">
            <v>0</v>
          </cell>
        </row>
        <row r="542">
          <cell r="T542">
            <v>0</v>
          </cell>
          <cell r="Z542">
            <v>0</v>
          </cell>
        </row>
        <row r="543">
          <cell r="T543">
            <v>0</v>
          </cell>
          <cell r="Z543">
            <v>0</v>
          </cell>
        </row>
        <row r="544">
          <cell r="T544">
            <v>0</v>
          </cell>
          <cell r="Z544">
            <v>0</v>
          </cell>
        </row>
        <row r="545">
          <cell r="T545">
            <v>0</v>
          </cell>
          <cell r="Z545">
            <v>0</v>
          </cell>
        </row>
        <row r="546">
          <cell r="T546">
            <v>0</v>
          </cell>
          <cell r="Z546">
            <v>0</v>
          </cell>
        </row>
        <row r="547">
          <cell r="T547">
            <v>0</v>
          </cell>
          <cell r="Z547">
            <v>0</v>
          </cell>
        </row>
        <row r="548">
          <cell r="T548">
            <v>0</v>
          </cell>
          <cell r="Z548">
            <v>0</v>
          </cell>
        </row>
        <row r="549">
          <cell r="T549">
            <v>0</v>
          </cell>
          <cell r="Z549">
            <v>0</v>
          </cell>
        </row>
        <row r="550">
          <cell r="T550">
            <v>0</v>
          </cell>
          <cell r="Z550">
            <v>0</v>
          </cell>
        </row>
        <row r="551">
          <cell r="T551">
            <v>0</v>
          </cell>
          <cell r="Z551">
            <v>0</v>
          </cell>
        </row>
        <row r="552">
          <cell r="T552">
            <v>0</v>
          </cell>
          <cell r="Z552">
            <v>0</v>
          </cell>
        </row>
        <row r="553">
          <cell r="T553">
            <v>0</v>
          </cell>
          <cell r="Z553">
            <v>0</v>
          </cell>
        </row>
        <row r="554">
          <cell r="T554">
            <v>0</v>
          </cell>
          <cell r="Z554">
            <v>0</v>
          </cell>
        </row>
        <row r="555">
          <cell r="T555">
            <v>0</v>
          </cell>
          <cell r="Z555">
            <v>0</v>
          </cell>
        </row>
        <row r="556">
          <cell r="T556">
            <v>0</v>
          </cell>
          <cell r="Z556">
            <v>0</v>
          </cell>
        </row>
        <row r="557">
          <cell r="T557">
            <v>0</v>
          </cell>
          <cell r="Z557">
            <v>0</v>
          </cell>
        </row>
        <row r="558">
          <cell r="T558">
            <v>0</v>
          </cell>
          <cell r="Z558">
            <v>0</v>
          </cell>
        </row>
        <row r="559">
          <cell r="T559">
            <v>0</v>
          </cell>
          <cell r="Z559">
            <v>0</v>
          </cell>
        </row>
        <row r="560">
          <cell r="T560">
            <v>0</v>
          </cell>
          <cell r="Z560">
            <v>0</v>
          </cell>
        </row>
        <row r="561">
          <cell r="T561">
            <v>0</v>
          </cell>
          <cell r="Z561">
            <v>0</v>
          </cell>
        </row>
        <row r="562">
          <cell r="T562">
            <v>0</v>
          </cell>
          <cell r="Z562">
            <v>0</v>
          </cell>
        </row>
        <row r="563">
          <cell r="T563">
            <v>0</v>
          </cell>
          <cell r="Z563">
            <v>0</v>
          </cell>
        </row>
        <row r="564">
          <cell r="T564">
            <v>0</v>
          </cell>
          <cell r="Z564">
            <v>0</v>
          </cell>
        </row>
        <row r="565">
          <cell r="T565">
            <v>0</v>
          </cell>
          <cell r="Z565">
            <v>0</v>
          </cell>
        </row>
        <row r="566">
          <cell r="T566">
            <v>0</v>
          </cell>
          <cell r="Z566">
            <v>0</v>
          </cell>
        </row>
        <row r="567">
          <cell r="T567">
            <v>0</v>
          </cell>
          <cell r="Z567">
            <v>0</v>
          </cell>
        </row>
        <row r="568">
          <cell r="T568">
            <v>0</v>
          </cell>
          <cell r="Z568">
            <v>0</v>
          </cell>
        </row>
        <row r="569">
          <cell r="T569">
            <v>0</v>
          </cell>
          <cell r="Z569">
            <v>0</v>
          </cell>
        </row>
        <row r="570">
          <cell r="T570">
            <v>0</v>
          </cell>
          <cell r="Z570">
            <v>0</v>
          </cell>
        </row>
        <row r="571">
          <cell r="T571">
            <v>0</v>
          </cell>
          <cell r="Z571">
            <v>0</v>
          </cell>
        </row>
        <row r="572">
          <cell r="T572">
            <v>0</v>
          </cell>
          <cell r="Z572">
            <v>0</v>
          </cell>
        </row>
        <row r="573">
          <cell r="T573">
            <v>0</v>
          </cell>
          <cell r="Z573">
            <v>0</v>
          </cell>
        </row>
        <row r="574">
          <cell r="T574">
            <v>0</v>
          </cell>
          <cell r="Z574">
            <v>0</v>
          </cell>
        </row>
        <row r="575">
          <cell r="T575">
            <v>0</v>
          </cell>
          <cell r="Z575">
            <v>0</v>
          </cell>
        </row>
        <row r="576">
          <cell r="T576">
            <v>0</v>
          </cell>
          <cell r="Z576">
            <v>0</v>
          </cell>
        </row>
        <row r="577">
          <cell r="T577">
            <v>0</v>
          </cell>
          <cell r="Z577">
            <v>0</v>
          </cell>
        </row>
        <row r="578">
          <cell r="T578">
            <v>0</v>
          </cell>
          <cell r="Z578">
            <v>0</v>
          </cell>
        </row>
        <row r="579">
          <cell r="T579">
            <v>0</v>
          </cell>
          <cell r="Z579">
            <v>0</v>
          </cell>
        </row>
        <row r="580">
          <cell r="T580">
            <v>0</v>
          </cell>
          <cell r="Z580">
            <v>0</v>
          </cell>
        </row>
        <row r="581">
          <cell r="T581">
            <v>0</v>
          </cell>
          <cell r="Z581">
            <v>0</v>
          </cell>
        </row>
        <row r="582">
          <cell r="T582">
            <v>0</v>
          </cell>
          <cell r="Z582">
            <v>0</v>
          </cell>
        </row>
        <row r="583">
          <cell r="T583">
            <v>0</v>
          </cell>
          <cell r="Z583">
            <v>0</v>
          </cell>
        </row>
        <row r="584">
          <cell r="T584">
            <v>0</v>
          </cell>
          <cell r="Z584">
            <v>0</v>
          </cell>
        </row>
        <row r="585">
          <cell r="T585">
            <v>0</v>
          </cell>
          <cell r="Z585">
            <v>0</v>
          </cell>
        </row>
        <row r="586">
          <cell r="T586">
            <v>0</v>
          </cell>
          <cell r="Z586">
            <v>0</v>
          </cell>
        </row>
        <row r="587">
          <cell r="T587">
            <v>0</v>
          </cell>
          <cell r="Z587">
            <v>0</v>
          </cell>
        </row>
        <row r="588">
          <cell r="T588">
            <v>0</v>
          </cell>
          <cell r="Z588">
            <v>0</v>
          </cell>
        </row>
        <row r="589">
          <cell r="T589">
            <v>0</v>
          </cell>
          <cell r="Z589">
            <v>0</v>
          </cell>
        </row>
        <row r="590">
          <cell r="T590">
            <v>0</v>
          </cell>
          <cell r="Z590">
            <v>0</v>
          </cell>
        </row>
        <row r="591">
          <cell r="T591">
            <v>0</v>
          </cell>
          <cell r="Z591">
            <v>0</v>
          </cell>
        </row>
        <row r="592">
          <cell r="T592">
            <v>0</v>
          </cell>
          <cell r="Z592">
            <v>0</v>
          </cell>
        </row>
        <row r="593">
          <cell r="T593">
            <v>0</v>
          </cell>
          <cell r="Z593">
            <v>0</v>
          </cell>
        </row>
        <row r="594">
          <cell r="T594">
            <v>0</v>
          </cell>
          <cell r="Z594">
            <v>0</v>
          </cell>
        </row>
        <row r="595">
          <cell r="T595">
            <v>0</v>
          </cell>
          <cell r="Z595">
            <v>0</v>
          </cell>
        </row>
        <row r="596">
          <cell r="T596">
            <v>0</v>
          </cell>
          <cell r="Z596">
            <v>0</v>
          </cell>
        </row>
        <row r="597">
          <cell r="T597">
            <v>0</v>
          </cell>
          <cell r="Z597">
            <v>0</v>
          </cell>
        </row>
        <row r="598">
          <cell r="T598">
            <v>0</v>
          </cell>
          <cell r="Z598">
            <v>0</v>
          </cell>
        </row>
        <row r="599">
          <cell r="T599">
            <v>0</v>
          </cell>
          <cell r="Z599">
            <v>0</v>
          </cell>
        </row>
        <row r="600">
          <cell r="T600">
            <v>0</v>
          </cell>
          <cell r="Z600">
            <v>0</v>
          </cell>
        </row>
        <row r="601">
          <cell r="T601">
            <v>0</v>
          </cell>
          <cell r="Z601">
            <v>0</v>
          </cell>
        </row>
        <row r="602">
          <cell r="T602">
            <v>0</v>
          </cell>
          <cell r="Z602">
            <v>0</v>
          </cell>
        </row>
        <row r="603">
          <cell r="T603">
            <v>0</v>
          </cell>
          <cell r="Z603">
            <v>0</v>
          </cell>
        </row>
        <row r="604">
          <cell r="T604">
            <v>0</v>
          </cell>
          <cell r="Z604">
            <v>0</v>
          </cell>
        </row>
        <row r="605">
          <cell r="T605">
            <v>0</v>
          </cell>
          <cell r="Z605">
            <v>0</v>
          </cell>
        </row>
        <row r="606">
          <cell r="T606">
            <v>0</v>
          </cell>
          <cell r="Z606">
            <v>0</v>
          </cell>
        </row>
        <row r="607">
          <cell r="T607">
            <v>0</v>
          </cell>
          <cell r="Z607">
            <v>0</v>
          </cell>
        </row>
        <row r="608">
          <cell r="T608">
            <v>0</v>
          </cell>
          <cell r="Z608">
            <v>0</v>
          </cell>
        </row>
        <row r="609">
          <cell r="T609">
            <v>0</v>
          </cell>
          <cell r="Z609">
            <v>0</v>
          </cell>
        </row>
        <row r="610">
          <cell r="T610">
            <v>0</v>
          </cell>
          <cell r="Z610">
            <v>0</v>
          </cell>
        </row>
        <row r="611">
          <cell r="T611">
            <v>0</v>
          </cell>
          <cell r="Z611">
            <v>0</v>
          </cell>
        </row>
        <row r="612">
          <cell r="T612">
            <v>0</v>
          </cell>
          <cell r="Z612">
            <v>0</v>
          </cell>
        </row>
        <row r="613">
          <cell r="T613">
            <v>0</v>
          </cell>
          <cell r="Z613">
            <v>0</v>
          </cell>
        </row>
        <row r="614">
          <cell r="T614">
            <v>0</v>
          </cell>
          <cell r="Z614">
            <v>0</v>
          </cell>
        </row>
        <row r="615">
          <cell r="T615">
            <v>0</v>
          </cell>
          <cell r="Z615">
            <v>0</v>
          </cell>
        </row>
        <row r="616">
          <cell r="T616">
            <v>0</v>
          </cell>
          <cell r="Z616">
            <v>0</v>
          </cell>
        </row>
        <row r="617">
          <cell r="T617">
            <v>0</v>
          </cell>
          <cell r="Z617">
            <v>0</v>
          </cell>
        </row>
        <row r="618">
          <cell r="T618">
            <v>0</v>
          </cell>
          <cell r="Z618">
            <v>0</v>
          </cell>
        </row>
        <row r="619">
          <cell r="T619">
            <v>0</v>
          </cell>
          <cell r="Z619">
            <v>0</v>
          </cell>
        </row>
        <row r="620">
          <cell r="T620">
            <v>0</v>
          </cell>
          <cell r="Z620">
            <v>0</v>
          </cell>
        </row>
        <row r="621">
          <cell r="T621">
            <v>0</v>
          </cell>
          <cell r="Z621">
            <v>0</v>
          </cell>
        </row>
        <row r="622">
          <cell r="T622">
            <v>0</v>
          </cell>
          <cell r="Z622">
            <v>0</v>
          </cell>
        </row>
        <row r="623">
          <cell r="T623">
            <v>0</v>
          </cell>
          <cell r="Z623">
            <v>0</v>
          </cell>
        </row>
        <row r="624">
          <cell r="T624">
            <v>0</v>
          </cell>
          <cell r="Z624">
            <v>0</v>
          </cell>
        </row>
        <row r="625">
          <cell r="T625">
            <v>0</v>
          </cell>
          <cell r="Z625">
            <v>0</v>
          </cell>
        </row>
        <row r="626">
          <cell r="T626">
            <v>0</v>
          </cell>
          <cell r="Z626">
            <v>0</v>
          </cell>
        </row>
        <row r="627">
          <cell r="T627">
            <v>0</v>
          </cell>
          <cell r="Z627">
            <v>0</v>
          </cell>
        </row>
        <row r="628">
          <cell r="T628">
            <v>0</v>
          </cell>
          <cell r="Z628">
            <v>0</v>
          </cell>
        </row>
        <row r="629">
          <cell r="T629">
            <v>0</v>
          </cell>
          <cell r="Z629">
            <v>0</v>
          </cell>
        </row>
        <row r="630">
          <cell r="T630">
            <v>0</v>
          </cell>
          <cell r="Z630">
            <v>0</v>
          </cell>
        </row>
        <row r="631">
          <cell r="T631">
            <v>0</v>
          </cell>
          <cell r="Z631">
            <v>0</v>
          </cell>
        </row>
        <row r="632">
          <cell r="T632">
            <v>0</v>
          </cell>
          <cell r="Z632">
            <v>0</v>
          </cell>
        </row>
        <row r="633">
          <cell r="T633">
            <v>0</v>
          </cell>
          <cell r="Z633">
            <v>0</v>
          </cell>
        </row>
        <row r="634">
          <cell r="T634">
            <v>0</v>
          </cell>
          <cell r="Z634">
            <v>0</v>
          </cell>
        </row>
        <row r="635">
          <cell r="T635">
            <v>0</v>
          </cell>
          <cell r="Z635">
            <v>0</v>
          </cell>
        </row>
        <row r="636">
          <cell r="T636">
            <v>0</v>
          </cell>
          <cell r="Z636">
            <v>0</v>
          </cell>
        </row>
        <row r="637">
          <cell r="T637">
            <v>0</v>
          </cell>
          <cell r="Z637">
            <v>0</v>
          </cell>
        </row>
        <row r="638">
          <cell r="T638">
            <v>0</v>
          </cell>
          <cell r="Z638">
            <v>0</v>
          </cell>
        </row>
        <row r="639">
          <cell r="T639">
            <v>0</v>
          </cell>
          <cell r="Z639">
            <v>0</v>
          </cell>
        </row>
        <row r="640">
          <cell r="T640">
            <v>0</v>
          </cell>
          <cell r="Z640">
            <v>0</v>
          </cell>
        </row>
        <row r="641">
          <cell r="T641">
            <v>0</v>
          </cell>
          <cell r="Z641">
            <v>0</v>
          </cell>
        </row>
        <row r="642">
          <cell r="T642">
            <v>0</v>
          </cell>
          <cell r="Z642">
            <v>0</v>
          </cell>
        </row>
        <row r="643">
          <cell r="T643">
            <v>0</v>
          </cell>
          <cell r="Z643">
            <v>0</v>
          </cell>
        </row>
        <row r="644">
          <cell r="T644">
            <v>0</v>
          </cell>
          <cell r="Z644">
            <v>0</v>
          </cell>
        </row>
        <row r="645">
          <cell r="T645">
            <v>0</v>
          </cell>
          <cell r="Z645">
            <v>0</v>
          </cell>
        </row>
        <row r="646">
          <cell r="T646">
            <v>0</v>
          </cell>
          <cell r="Z646">
            <v>0</v>
          </cell>
        </row>
        <row r="647">
          <cell r="T647">
            <v>0</v>
          </cell>
          <cell r="Z647">
            <v>0</v>
          </cell>
        </row>
        <row r="648">
          <cell r="T648">
            <v>0</v>
          </cell>
          <cell r="Z648">
            <v>0</v>
          </cell>
        </row>
        <row r="649">
          <cell r="T649">
            <v>0</v>
          </cell>
          <cell r="Z649">
            <v>0</v>
          </cell>
        </row>
        <row r="650">
          <cell r="T650">
            <v>0</v>
          </cell>
          <cell r="Z650">
            <v>0</v>
          </cell>
        </row>
        <row r="651">
          <cell r="T651">
            <v>0</v>
          </cell>
          <cell r="Z651">
            <v>0</v>
          </cell>
        </row>
        <row r="652">
          <cell r="T652">
            <v>0</v>
          </cell>
          <cell r="Z652">
            <v>0</v>
          </cell>
        </row>
        <row r="653">
          <cell r="T653">
            <v>0</v>
          </cell>
          <cell r="Z653">
            <v>0</v>
          </cell>
        </row>
        <row r="654">
          <cell r="T654">
            <v>0</v>
          </cell>
          <cell r="Z654">
            <v>0</v>
          </cell>
        </row>
        <row r="655">
          <cell r="T655">
            <v>0</v>
          </cell>
          <cell r="Z655">
            <v>0</v>
          </cell>
        </row>
        <row r="656">
          <cell r="T656">
            <v>0</v>
          </cell>
          <cell r="Z656">
            <v>0</v>
          </cell>
        </row>
        <row r="657">
          <cell r="T657">
            <v>0</v>
          </cell>
          <cell r="Z657">
            <v>0</v>
          </cell>
        </row>
        <row r="658">
          <cell r="T658">
            <v>0</v>
          </cell>
          <cell r="Z658">
            <v>0</v>
          </cell>
        </row>
        <row r="659">
          <cell r="T659">
            <v>0</v>
          </cell>
          <cell r="Z659">
            <v>0</v>
          </cell>
        </row>
        <row r="660">
          <cell r="T660">
            <v>0</v>
          </cell>
          <cell r="Z660">
            <v>0</v>
          </cell>
        </row>
        <row r="661">
          <cell r="T661">
            <v>0</v>
          </cell>
          <cell r="Z661">
            <v>0</v>
          </cell>
        </row>
        <row r="662">
          <cell r="T662">
            <v>0</v>
          </cell>
          <cell r="Z662">
            <v>0</v>
          </cell>
        </row>
        <row r="663">
          <cell r="T663">
            <v>0</v>
          </cell>
          <cell r="Z663">
            <v>0</v>
          </cell>
        </row>
        <row r="664">
          <cell r="T664">
            <v>0</v>
          </cell>
          <cell r="Z664">
            <v>0</v>
          </cell>
        </row>
        <row r="665">
          <cell r="T665">
            <v>0</v>
          </cell>
          <cell r="Z665">
            <v>0</v>
          </cell>
        </row>
        <row r="666">
          <cell r="T666">
            <v>0</v>
          </cell>
          <cell r="Z666">
            <v>0</v>
          </cell>
        </row>
        <row r="667">
          <cell r="T667">
            <v>0</v>
          </cell>
          <cell r="Z667">
            <v>0</v>
          </cell>
        </row>
        <row r="668">
          <cell r="T668">
            <v>0</v>
          </cell>
          <cell r="Z668">
            <v>0</v>
          </cell>
        </row>
        <row r="669">
          <cell r="T669">
            <v>0</v>
          </cell>
          <cell r="Z669">
            <v>0</v>
          </cell>
        </row>
        <row r="670">
          <cell r="T670">
            <v>0</v>
          </cell>
          <cell r="Z670">
            <v>0</v>
          </cell>
        </row>
        <row r="671">
          <cell r="T671">
            <v>0</v>
          </cell>
          <cell r="Z671">
            <v>0</v>
          </cell>
        </row>
        <row r="672">
          <cell r="T672">
            <v>0</v>
          </cell>
          <cell r="Z672">
            <v>0</v>
          </cell>
        </row>
        <row r="673">
          <cell r="T673">
            <v>0</v>
          </cell>
          <cell r="Z673">
            <v>0</v>
          </cell>
        </row>
        <row r="674">
          <cell r="T674">
            <v>0</v>
          </cell>
          <cell r="Z674">
            <v>0</v>
          </cell>
        </row>
        <row r="675">
          <cell r="T675">
            <v>0</v>
          </cell>
          <cell r="Z675">
            <v>0</v>
          </cell>
        </row>
        <row r="676">
          <cell r="T676">
            <v>0</v>
          </cell>
          <cell r="Z676">
            <v>0</v>
          </cell>
        </row>
        <row r="677">
          <cell r="T677">
            <v>0</v>
          </cell>
          <cell r="Z677">
            <v>0</v>
          </cell>
        </row>
        <row r="678">
          <cell r="T678">
            <v>0</v>
          </cell>
          <cell r="Z678">
            <v>0</v>
          </cell>
        </row>
        <row r="679">
          <cell r="T679">
            <v>0</v>
          </cell>
          <cell r="Z679">
            <v>0</v>
          </cell>
        </row>
        <row r="680">
          <cell r="T680">
            <v>0</v>
          </cell>
          <cell r="Z680">
            <v>0</v>
          </cell>
        </row>
        <row r="681">
          <cell r="T681">
            <v>0</v>
          </cell>
          <cell r="Z681">
            <v>0</v>
          </cell>
        </row>
        <row r="682">
          <cell r="T682">
            <v>0</v>
          </cell>
          <cell r="Z682">
            <v>0</v>
          </cell>
        </row>
        <row r="683">
          <cell r="T683">
            <v>0</v>
          </cell>
          <cell r="Z683">
            <v>0</v>
          </cell>
        </row>
        <row r="684">
          <cell r="T684">
            <v>0</v>
          </cell>
          <cell r="Z684">
            <v>0</v>
          </cell>
        </row>
        <row r="685">
          <cell r="T685">
            <v>0</v>
          </cell>
          <cell r="Z685">
            <v>0</v>
          </cell>
        </row>
        <row r="686">
          <cell r="T686">
            <v>0</v>
          </cell>
          <cell r="Z686">
            <v>0</v>
          </cell>
        </row>
        <row r="687">
          <cell r="T687">
            <v>0</v>
          </cell>
          <cell r="Z687">
            <v>0</v>
          </cell>
        </row>
        <row r="688">
          <cell r="T688">
            <v>0</v>
          </cell>
          <cell r="Z688">
            <v>0</v>
          </cell>
        </row>
        <row r="689">
          <cell r="T689">
            <v>0</v>
          </cell>
          <cell r="Z689">
            <v>0</v>
          </cell>
        </row>
        <row r="690">
          <cell r="T690">
            <v>0</v>
          </cell>
          <cell r="Z690">
            <v>0</v>
          </cell>
        </row>
        <row r="691">
          <cell r="T691">
            <v>0</v>
          </cell>
          <cell r="Z691">
            <v>0</v>
          </cell>
        </row>
        <row r="692">
          <cell r="T692">
            <v>0</v>
          </cell>
          <cell r="Z692">
            <v>0</v>
          </cell>
        </row>
        <row r="693">
          <cell r="T693">
            <v>0</v>
          </cell>
          <cell r="Z693">
            <v>0</v>
          </cell>
        </row>
        <row r="694">
          <cell r="T694">
            <v>0</v>
          </cell>
          <cell r="Z694">
            <v>0</v>
          </cell>
        </row>
        <row r="695">
          <cell r="T695">
            <v>0</v>
          </cell>
          <cell r="Z695">
            <v>0</v>
          </cell>
        </row>
        <row r="696">
          <cell r="T696">
            <v>0</v>
          </cell>
          <cell r="Z696">
            <v>0</v>
          </cell>
        </row>
        <row r="697">
          <cell r="T697">
            <v>0</v>
          </cell>
          <cell r="Z697">
            <v>0</v>
          </cell>
        </row>
        <row r="698">
          <cell r="T698">
            <v>0</v>
          </cell>
          <cell r="Z698">
            <v>0</v>
          </cell>
        </row>
        <row r="699">
          <cell r="T699">
            <v>0</v>
          </cell>
          <cell r="Z699">
            <v>0</v>
          </cell>
        </row>
        <row r="700">
          <cell r="T700">
            <v>0</v>
          </cell>
          <cell r="Z700">
            <v>0</v>
          </cell>
        </row>
        <row r="701">
          <cell r="T701">
            <v>0</v>
          </cell>
          <cell r="Z701">
            <v>0</v>
          </cell>
        </row>
        <row r="702">
          <cell r="T702">
            <v>0</v>
          </cell>
          <cell r="Z702">
            <v>0</v>
          </cell>
        </row>
        <row r="703">
          <cell r="T703">
            <v>0</v>
          </cell>
          <cell r="Z703">
            <v>0</v>
          </cell>
        </row>
        <row r="704">
          <cell r="T704">
            <v>0</v>
          </cell>
          <cell r="Z704">
            <v>0</v>
          </cell>
        </row>
        <row r="705">
          <cell r="T705">
            <v>0</v>
          </cell>
          <cell r="Z705">
            <v>0</v>
          </cell>
        </row>
        <row r="706">
          <cell r="T706">
            <v>0</v>
          </cell>
          <cell r="Z706">
            <v>0</v>
          </cell>
        </row>
        <row r="707">
          <cell r="T707">
            <v>0</v>
          </cell>
          <cell r="Z707">
            <v>0</v>
          </cell>
        </row>
        <row r="708">
          <cell r="T708">
            <v>0</v>
          </cell>
          <cell r="Z708">
            <v>0</v>
          </cell>
        </row>
        <row r="709">
          <cell r="T709">
            <v>0</v>
          </cell>
          <cell r="Z709">
            <v>0</v>
          </cell>
        </row>
        <row r="710">
          <cell r="T710">
            <v>0</v>
          </cell>
          <cell r="Z710">
            <v>0</v>
          </cell>
        </row>
        <row r="711">
          <cell r="T711">
            <v>0</v>
          </cell>
          <cell r="Z711">
            <v>0</v>
          </cell>
        </row>
        <row r="712">
          <cell r="T712">
            <v>0</v>
          </cell>
          <cell r="Z712">
            <v>0</v>
          </cell>
        </row>
        <row r="713">
          <cell r="T713">
            <v>0</v>
          </cell>
          <cell r="Z713">
            <v>0</v>
          </cell>
        </row>
        <row r="714">
          <cell r="T714">
            <v>0</v>
          </cell>
          <cell r="Z714">
            <v>0</v>
          </cell>
        </row>
        <row r="715">
          <cell r="T715">
            <v>0</v>
          </cell>
          <cell r="Z715">
            <v>0</v>
          </cell>
        </row>
        <row r="716">
          <cell r="T716">
            <v>0</v>
          </cell>
          <cell r="Z716">
            <v>0</v>
          </cell>
        </row>
        <row r="717">
          <cell r="T717">
            <v>0</v>
          </cell>
          <cell r="Z717">
            <v>0</v>
          </cell>
        </row>
        <row r="718">
          <cell r="T718">
            <v>0</v>
          </cell>
          <cell r="Z718">
            <v>0</v>
          </cell>
        </row>
        <row r="719">
          <cell r="T719">
            <v>0</v>
          </cell>
          <cell r="Z719">
            <v>0</v>
          </cell>
        </row>
        <row r="720">
          <cell r="T720">
            <v>0</v>
          </cell>
          <cell r="Z720">
            <v>0</v>
          </cell>
        </row>
        <row r="721">
          <cell r="T721">
            <v>0</v>
          </cell>
          <cell r="Z721">
            <v>0</v>
          </cell>
        </row>
        <row r="722">
          <cell r="T722">
            <v>0</v>
          </cell>
          <cell r="Z722">
            <v>0</v>
          </cell>
        </row>
        <row r="723">
          <cell r="T723">
            <v>0</v>
          </cell>
          <cell r="Z723">
            <v>0</v>
          </cell>
        </row>
        <row r="724">
          <cell r="T724">
            <v>0</v>
          </cell>
          <cell r="Z724">
            <v>0</v>
          </cell>
        </row>
        <row r="725">
          <cell r="T725">
            <v>0</v>
          </cell>
          <cell r="Z725">
            <v>0</v>
          </cell>
        </row>
        <row r="726">
          <cell r="T726">
            <v>0</v>
          </cell>
          <cell r="Z726">
            <v>0</v>
          </cell>
        </row>
        <row r="727">
          <cell r="T727">
            <v>0</v>
          </cell>
          <cell r="Z727">
            <v>0</v>
          </cell>
        </row>
        <row r="728">
          <cell r="T728">
            <v>0</v>
          </cell>
          <cell r="Z728">
            <v>0</v>
          </cell>
        </row>
        <row r="729">
          <cell r="T729">
            <v>0</v>
          </cell>
          <cell r="Z729">
            <v>0</v>
          </cell>
        </row>
        <row r="730">
          <cell r="T730">
            <v>0</v>
          </cell>
          <cell r="Z730">
            <v>0</v>
          </cell>
        </row>
        <row r="731">
          <cell r="T731">
            <v>0</v>
          </cell>
          <cell r="Z731">
            <v>0</v>
          </cell>
        </row>
        <row r="732">
          <cell r="T732">
            <v>0</v>
          </cell>
          <cell r="Z732">
            <v>0</v>
          </cell>
        </row>
        <row r="733">
          <cell r="T733">
            <v>0</v>
          </cell>
          <cell r="Z733">
            <v>0</v>
          </cell>
        </row>
        <row r="734">
          <cell r="T734">
            <v>0</v>
          </cell>
          <cell r="Z734">
            <v>0</v>
          </cell>
        </row>
        <row r="735">
          <cell r="T735">
            <v>0</v>
          </cell>
          <cell r="Z735">
            <v>0</v>
          </cell>
        </row>
        <row r="736">
          <cell r="T736">
            <v>0</v>
          </cell>
          <cell r="Z736">
            <v>0</v>
          </cell>
        </row>
        <row r="737">
          <cell r="T737">
            <v>0</v>
          </cell>
          <cell r="Z737">
            <v>0</v>
          </cell>
        </row>
        <row r="738">
          <cell r="T738">
            <v>0</v>
          </cell>
          <cell r="Z738">
            <v>0</v>
          </cell>
        </row>
        <row r="739">
          <cell r="T739">
            <v>0</v>
          </cell>
          <cell r="Z739">
            <v>0</v>
          </cell>
        </row>
        <row r="740">
          <cell r="T740">
            <v>0</v>
          </cell>
          <cell r="Z740">
            <v>0</v>
          </cell>
        </row>
        <row r="741">
          <cell r="T741">
            <v>0</v>
          </cell>
          <cell r="Z741">
            <v>0</v>
          </cell>
        </row>
        <row r="742">
          <cell r="T742">
            <v>0</v>
          </cell>
          <cell r="Z742">
            <v>0</v>
          </cell>
        </row>
        <row r="743">
          <cell r="T743">
            <v>0</v>
          </cell>
          <cell r="Z743">
            <v>0</v>
          </cell>
        </row>
        <row r="744">
          <cell r="T744">
            <v>0</v>
          </cell>
          <cell r="Z744">
            <v>0</v>
          </cell>
        </row>
        <row r="745">
          <cell r="T745">
            <v>0</v>
          </cell>
          <cell r="Z745">
            <v>0</v>
          </cell>
        </row>
        <row r="746">
          <cell r="T746">
            <v>0</v>
          </cell>
          <cell r="Z746">
            <v>0</v>
          </cell>
        </row>
        <row r="747">
          <cell r="T747">
            <v>0</v>
          </cell>
          <cell r="Z747">
            <v>0</v>
          </cell>
        </row>
        <row r="748">
          <cell r="T748">
            <v>0</v>
          </cell>
          <cell r="Z748">
            <v>0</v>
          </cell>
        </row>
        <row r="749">
          <cell r="T749">
            <v>0</v>
          </cell>
          <cell r="Z749">
            <v>0</v>
          </cell>
        </row>
        <row r="750">
          <cell r="T750">
            <v>0</v>
          </cell>
          <cell r="Z750">
            <v>0</v>
          </cell>
        </row>
        <row r="751">
          <cell r="T751">
            <v>0</v>
          </cell>
          <cell r="Z751">
            <v>0</v>
          </cell>
        </row>
        <row r="752">
          <cell r="T752">
            <v>0</v>
          </cell>
          <cell r="Z752">
            <v>0</v>
          </cell>
        </row>
        <row r="753">
          <cell r="T753">
            <v>0</v>
          </cell>
          <cell r="Z753">
            <v>0</v>
          </cell>
        </row>
        <row r="754">
          <cell r="T754">
            <v>0</v>
          </cell>
          <cell r="Z754">
            <v>0</v>
          </cell>
        </row>
        <row r="755">
          <cell r="T755">
            <v>0</v>
          </cell>
          <cell r="Z755">
            <v>0</v>
          </cell>
        </row>
        <row r="756">
          <cell r="T756">
            <v>0</v>
          </cell>
          <cell r="Z756">
            <v>0</v>
          </cell>
        </row>
        <row r="757">
          <cell r="T757">
            <v>0</v>
          </cell>
          <cell r="Z757">
            <v>0</v>
          </cell>
        </row>
        <row r="758">
          <cell r="T758">
            <v>0</v>
          </cell>
          <cell r="Z758">
            <v>0</v>
          </cell>
        </row>
        <row r="759">
          <cell r="T759">
            <v>0</v>
          </cell>
          <cell r="Z759">
            <v>0</v>
          </cell>
        </row>
        <row r="760">
          <cell r="T760">
            <v>0</v>
          </cell>
          <cell r="Z760">
            <v>0</v>
          </cell>
        </row>
        <row r="761">
          <cell r="T761">
            <v>0</v>
          </cell>
          <cell r="Z761">
            <v>0</v>
          </cell>
        </row>
        <row r="762">
          <cell r="T762">
            <v>0</v>
          </cell>
          <cell r="Z762">
            <v>0</v>
          </cell>
        </row>
        <row r="763">
          <cell r="T763">
            <v>0</v>
          </cell>
          <cell r="Z763">
            <v>0</v>
          </cell>
        </row>
        <row r="764">
          <cell r="T764">
            <v>0</v>
          </cell>
          <cell r="Z764">
            <v>0</v>
          </cell>
        </row>
        <row r="765">
          <cell r="T765">
            <v>0</v>
          </cell>
          <cell r="Z765">
            <v>0</v>
          </cell>
        </row>
        <row r="766">
          <cell r="T766">
            <v>0</v>
          </cell>
          <cell r="Z766">
            <v>0</v>
          </cell>
        </row>
        <row r="767">
          <cell r="T767">
            <v>0</v>
          </cell>
          <cell r="Z767">
            <v>0</v>
          </cell>
        </row>
        <row r="768">
          <cell r="T768">
            <v>0</v>
          </cell>
          <cell r="Z768">
            <v>0</v>
          </cell>
        </row>
        <row r="769">
          <cell r="T769">
            <v>0</v>
          </cell>
          <cell r="Z769">
            <v>0</v>
          </cell>
        </row>
        <row r="770">
          <cell r="T770">
            <v>0</v>
          </cell>
          <cell r="Z770">
            <v>0</v>
          </cell>
        </row>
        <row r="771">
          <cell r="T771">
            <v>0</v>
          </cell>
          <cell r="Z771">
            <v>0</v>
          </cell>
        </row>
        <row r="772">
          <cell r="T772">
            <v>0</v>
          </cell>
          <cell r="Z772">
            <v>0</v>
          </cell>
        </row>
        <row r="773">
          <cell r="T773">
            <v>0</v>
          </cell>
          <cell r="Z773">
            <v>0</v>
          </cell>
        </row>
        <row r="774">
          <cell r="T774">
            <v>0</v>
          </cell>
          <cell r="Z774">
            <v>0</v>
          </cell>
        </row>
        <row r="775">
          <cell r="T775">
            <v>0</v>
          </cell>
          <cell r="Z775">
            <v>0</v>
          </cell>
        </row>
        <row r="776">
          <cell r="T776">
            <v>0</v>
          </cell>
          <cell r="Z776">
            <v>0</v>
          </cell>
        </row>
        <row r="777">
          <cell r="T777">
            <v>0</v>
          </cell>
          <cell r="Z777">
            <v>0</v>
          </cell>
        </row>
        <row r="778">
          <cell r="T778">
            <v>0</v>
          </cell>
          <cell r="Z778">
            <v>0</v>
          </cell>
        </row>
        <row r="779">
          <cell r="T779">
            <v>0</v>
          </cell>
          <cell r="Z779">
            <v>0</v>
          </cell>
        </row>
        <row r="780">
          <cell r="T780">
            <v>0</v>
          </cell>
          <cell r="Z780">
            <v>0</v>
          </cell>
        </row>
        <row r="781">
          <cell r="T781">
            <v>0</v>
          </cell>
          <cell r="Z781">
            <v>0</v>
          </cell>
        </row>
        <row r="782">
          <cell r="T782">
            <v>0</v>
          </cell>
          <cell r="Z782">
            <v>0</v>
          </cell>
        </row>
        <row r="783">
          <cell r="T783">
            <v>0</v>
          </cell>
          <cell r="Z783">
            <v>0</v>
          </cell>
        </row>
        <row r="784">
          <cell r="T784">
            <v>0</v>
          </cell>
          <cell r="Z784">
            <v>0</v>
          </cell>
        </row>
        <row r="785">
          <cell r="T785">
            <v>0</v>
          </cell>
          <cell r="Z785">
            <v>0</v>
          </cell>
        </row>
        <row r="786">
          <cell r="T786">
            <v>0</v>
          </cell>
          <cell r="Z786">
            <v>0</v>
          </cell>
        </row>
        <row r="787">
          <cell r="T787">
            <v>0</v>
          </cell>
          <cell r="Z787">
            <v>0</v>
          </cell>
        </row>
        <row r="788">
          <cell r="T788">
            <v>0</v>
          </cell>
          <cell r="Z788">
            <v>0</v>
          </cell>
        </row>
        <row r="789">
          <cell r="T789">
            <v>0</v>
          </cell>
          <cell r="Z789">
            <v>0</v>
          </cell>
        </row>
        <row r="790">
          <cell r="T790">
            <v>0</v>
          </cell>
          <cell r="Z790">
            <v>0</v>
          </cell>
        </row>
        <row r="791">
          <cell r="T791">
            <v>0</v>
          </cell>
          <cell r="Z791">
            <v>0</v>
          </cell>
        </row>
        <row r="792">
          <cell r="T792">
            <v>0</v>
          </cell>
          <cell r="Z792">
            <v>0</v>
          </cell>
        </row>
        <row r="793">
          <cell r="T793">
            <v>0</v>
          </cell>
          <cell r="Z793">
            <v>0</v>
          </cell>
        </row>
        <row r="794">
          <cell r="T794">
            <v>0</v>
          </cell>
          <cell r="Z794">
            <v>0</v>
          </cell>
        </row>
        <row r="795">
          <cell r="T795">
            <v>0</v>
          </cell>
          <cell r="Z795">
            <v>0</v>
          </cell>
        </row>
        <row r="796">
          <cell r="T796">
            <v>0</v>
          </cell>
          <cell r="Z796">
            <v>0</v>
          </cell>
        </row>
        <row r="797">
          <cell r="T797">
            <v>0</v>
          </cell>
          <cell r="Z797">
            <v>0</v>
          </cell>
        </row>
        <row r="798">
          <cell r="T798">
            <v>0</v>
          </cell>
          <cell r="Z798">
            <v>0</v>
          </cell>
        </row>
        <row r="799">
          <cell r="T799">
            <v>0</v>
          </cell>
          <cell r="Z799">
            <v>0</v>
          </cell>
        </row>
        <row r="800">
          <cell r="T800">
            <v>0</v>
          </cell>
          <cell r="Z800">
            <v>0</v>
          </cell>
        </row>
        <row r="801">
          <cell r="T801">
            <v>0</v>
          </cell>
          <cell r="Z801">
            <v>0</v>
          </cell>
        </row>
        <row r="802">
          <cell r="T802">
            <v>0</v>
          </cell>
          <cell r="Z802">
            <v>0</v>
          </cell>
        </row>
        <row r="803">
          <cell r="T803">
            <v>0</v>
          </cell>
          <cell r="Z803">
            <v>0</v>
          </cell>
        </row>
        <row r="804">
          <cell r="T804">
            <v>0</v>
          </cell>
          <cell r="Z804">
            <v>0</v>
          </cell>
        </row>
        <row r="805">
          <cell r="T805">
            <v>0</v>
          </cell>
          <cell r="Z805">
            <v>0</v>
          </cell>
        </row>
        <row r="806">
          <cell r="T806">
            <v>0</v>
          </cell>
          <cell r="Z806">
            <v>0</v>
          </cell>
        </row>
        <row r="807">
          <cell r="T807">
            <v>0</v>
          </cell>
          <cell r="Z807">
            <v>0</v>
          </cell>
        </row>
        <row r="808">
          <cell r="T808">
            <v>0</v>
          </cell>
          <cell r="Z808">
            <v>0</v>
          </cell>
        </row>
        <row r="809">
          <cell r="T809">
            <v>0</v>
          </cell>
          <cell r="Z809">
            <v>0</v>
          </cell>
        </row>
        <row r="810">
          <cell r="T810">
            <v>0</v>
          </cell>
          <cell r="Z810">
            <v>0</v>
          </cell>
        </row>
        <row r="811">
          <cell r="T811">
            <v>0</v>
          </cell>
          <cell r="Z811">
            <v>0</v>
          </cell>
        </row>
        <row r="812">
          <cell r="T812">
            <v>0</v>
          </cell>
          <cell r="Z812">
            <v>0</v>
          </cell>
        </row>
        <row r="813">
          <cell r="T813">
            <v>0</v>
          </cell>
          <cell r="Z813">
            <v>0</v>
          </cell>
        </row>
        <row r="814">
          <cell r="T814">
            <v>0</v>
          </cell>
          <cell r="Z814">
            <v>0</v>
          </cell>
        </row>
        <row r="815">
          <cell r="T815">
            <v>0</v>
          </cell>
          <cell r="Z815">
            <v>0</v>
          </cell>
        </row>
        <row r="816">
          <cell r="T816">
            <v>0</v>
          </cell>
          <cell r="Z816">
            <v>0</v>
          </cell>
        </row>
        <row r="817">
          <cell r="T817">
            <v>0</v>
          </cell>
          <cell r="Z817">
            <v>0</v>
          </cell>
        </row>
        <row r="818">
          <cell r="T818">
            <v>0</v>
          </cell>
          <cell r="Z818">
            <v>0</v>
          </cell>
        </row>
        <row r="819">
          <cell r="T819">
            <v>0</v>
          </cell>
          <cell r="Z819">
            <v>0</v>
          </cell>
        </row>
        <row r="820">
          <cell r="T820">
            <v>0</v>
          </cell>
          <cell r="Z820">
            <v>0</v>
          </cell>
        </row>
        <row r="821">
          <cell r="T821">
            <v>0</v>
          </cell>
          <cell r="Z821">
            <v>0</v>
          </cell>
        </row>
        <row r="822">
          <cell r="T822">
            <v>0</v>
          </cell>
          <cell r="Z822">
            <v>0</v>
          </cell>
        </row>
        <row r="823">
          <cell r="T823">
            <v>0</v>
          </cell>
          <cell r="Z823">
            <v>0</v>
          </cell>
        </row>
        <row r="824">
          <cell r="T824">
            <v>0</v>
          </cell>
          <cell r="Z824">
            <v>0</v>
          </cell>
        </row>
        <row r="825">
          <cell r="T825">
            <v>0</v>
          </cell>
          <cell r="Z825">
            <v>0</v>
          </cell>
        </row>
        <row r="826">
          <cell r="T826">
            <v>0</v>
          </cell>
          <cell r="Z826">
            <v>0</v>
          </cell>
        </row>
        <row r="827">
          <cell r="T827">
            <v>0</v>
          </cell>
          <cell r="Z827">
            <v>0</v>
          </cell>
        </row>
        <row r="828">
          <cell r="T828">
            <v>0</v>
          </cell>
          <cell r="Z828">
            <v>0</v>
          </cell>
        </row>
        <row r="829">
          <cell r="T829">
            <v>0</v>
          </cell>
          <cell r="Z829">
            <v>0</v>
          </cell>
        </row>
        <row r="830">
          <cell r="T830">
            <v>0</v>
          </cell>
          <cell r="Z830">
            <v>0</v>
          </cell>
        </row>
        <row r="831">
          <cell r="T831">
            <v>0</v>
          </cell>
          <cell r="Z831">
            <v>0</v>
          </cell>
        </row>
        <row r="832">
          <cell r="T832">
            <v>0</v>
          </cell>
          <cell r="Z832">
            <v>0</v>
          </cell>
        </row>
        <row r="833">
          <cell r="T833">
            <v>0</v>
          </cell>
          <cell r="Z833">
            <v>0</v>
          </cell>
        </row>
        <row r="834">
          <cell r="T834">
            <v>0</v>
          </cell>
          <cell r="Z834">
            <v>0</v>
          </cell>
        </row>
        <row r="835">
          <cell r="T835">
            <v>0</v>
          </cell>
          <cell r="Z835">
            <v>0</v>
          </cell>
        </row>
        <row r="836">
          <cell r="T836">
            <v>0</v>
          </cell>
          <cell r="Z836">
            <v>0</v>
          </cell>
        </row>
        <row r="837">
          <cell r="T837">
            <v>0</v>
          </cell>
          <cell r="Z837">
            <v>0</v>
          </cell>
        </row>
        <row r="838">
          <cell r="T838">
            <v>0</v>
          </cell>
          <cell r="Z838">
            <v>0</v>
          </cell>
        </row>
        <row r="839">
          <cell r="T839">
            <v>0</v>
          </cell>
          <cell r="Z839">
            <v>0</v>
          </cell>
        </row>
        <row r="840">
          <cell r="T840">
            <v>0</v>
          </cell>
          <cell r="Z840">
            <v>0</v>
          </cell>
        </row>
        <row r="841">
          <cell r="T841">
            <v>0</v>
          </cell>
          <cell r="Z841">
            <v>0</v>
          </cell>
        </row>
        <row r="842">
          <cell r="T842">
            <v>0</v>
          </cell>
          <cell r="Z842">
            <v>0</v>
          </cell>
        </row>
        <row r="843">
          <cell r="T843">
            <v>0</v>
          </cell>
          <cell r="Z843">
            <v>0</v>
          </cell>
        </row>
        <row r="844">
          <cell r="T844">
            <v>0</v>
          </cell>
          <cell r="Z844">
            <v>0</v>
          </cell>
        </row>
        <row r="845">
          <cell r="T845">
            <v>0</v>
          </cell>
          <cell r="Z845">
            <v>0</v>
          </cell>
        </row>
        <row r="846">
          <cell r="T846">
            <v>0</v>
          </cell>
          <cell r="Z846">
            <v>0</v>
          </cell>
        </row>
        <row r="847">
          <cell r="T847">
            <v>0</v>
          </cell>
          <cell r="Z847">
            <v>0</v>
          </cell>
        </row>
        <row r="848">
          <cell r="T848">
            <v>0</v>
          </cell>
          <cell r="Z848">
            <v>0</v>
          </cell>
        </row>
        <row r="849">
          <cell r="T849">
            <v>0</v>
          </cell>
          <cell r="Z849">
            <v>0</v>
          </cell>
        </row>
        <row r="850">
          <cell r="T850">
            <v>0</v>
          </cell>
          <cell r="Z850">
            <v>0</v>
          </cell>
        </row>
        <row r="851">
          <cell r="T851">
            <v>0</v>
          </cell>
          <cell r="Z851">
            <v>0</v>
          </cell>
        </row>
        <row r="852">
          <cell r="T852">
            <v>0</v>
          </cell>
          <cell r="Z852">
            <v>0</v>
          </cell>
        </row>
        <row r="853">
          <cell r="T853">
            <v>0</v>
          </cell>
          <cell r="Z853">
            <v>0</v>
          </cell>
        </row>
        <row r="854">
          <cell r="T854">
            <v>0</v>
          </cell>
          <cell r="Z854">
            <v>0</v>
          </cell>
        </row>
        <row r="855">
          <cell r="T855">
            <v>0</v>
          </cell>
          <cell r="Z855">
            <v>0</v>
          </cell>
        </row>
        <row r="856">
          <cell r="T856">
            <v>0</v>
          </cell>
          <cell r="Z856">
            <v>0</v>
          </cell>
        </row>
        <row r="857">
          <cell r="T857">
            <v>0</v>
          </cell>
          <cell r="Z857">
            <v>0</v>
          </cell>
        </row>
        <row r="858">
          <cell r="T858">
            <v>0</v>
          </cell>
          <cell r="Z858">
            <v>0</v>
          </cell>
        </row>
        <row r="859">
          <cell r="T859">
            <v>0</v>
          </cell>
          <cell r="Z859">
            <v>0</v>
          </cell>
        </row>
        <row r="860">
          <cell r="T860">
            <v>0</v>
          </cell>
          <cell r="Z860">
            <v>0</v>
          </cell>
        </row>
        <row r="861">
          <cell r="T861">
            <v>0</v>
          </cell>
          <cell r="Z861">
            <v>0</v>
          </cell>
        </row>
        <row r="862">
          <cell r="T862">
            <v>0</v>
          </cell>
          <cell r="Z862">
            <v>0</v>
          </cell>
        </row>
        <row r="863">
          <cell r="T863">
            <v>0</v>
          </cell>
          <cell r="Z863">
            <v>0</v>
          </cell>
        </row>
        <row r="864">
          <cell r="T864">
            <v>0</v>
          </cell>
          <cell r="Z864">
            <v>0</v>
          </cell>
        </row>
        <row r="865">
          <cell r="T865">
            <v>0</v>
          </cell>
          <cell r="Z865">
            <v>0</v>
          </cell>
        </row>
        <row r="866">
          <cell r="T866">
            <v>0</v>
          </cell>
          <cell r="Z866">
            <v>0</v>
          </cell>
        </row>
        <row r="867">
          <cell r="T867">
            <v>0</v>
          </cell>
          <cell r="Z867">
            <v>0</v>
          </cell>
        </row>
        <row r="868">
          <cell r="T868">
            <v>0</v>
          </cell>
          <cell r="Z868">
            <v>0</v>
          </cell>
        </row>
        <row r="869">
          <cell r="T869">
            <v>0</v>
          </cell>
          <cell r="Z869">
            <v>0</v>
          </cell>
        </row>
        <row r="870">
          <cell r="T870">
            <v>0</v>
          </cell>
          <cell r="Z870">
            <v>0</v>
          </cell>
        </row>
        <row r="871">
          <cell r="T871">
            <v>0</v>
          </cell>
          <cell r="Z871">
            <v>0</v>
          </cell>
        </row>
        <row r="872">
          <cell r="T872">
            <v>0</v>
          </cell>
          <cell r="Z872">
            <v>0</v>
          </cell>
        </row>
        <row r="873">
          <cell r="T873">
            <v>0</v>
          </cell>
          <cell r="Z873">
            <v>0</v>
          </cell>
        </row>
        <row r="874">
          <cell r="T874">
            <v>0</v>
          </cell>
          <cell r="Z874">
            <v>0</v>
          </cell>
        </row>
        <row r="875">
          <cell r="T875">
            <v>0</v>
          </cell>
          <cell r="Z875">
            <v>0</v>
          </cell>
        </row>
        <row r="876">
          <cell r="T876">
            <v>0</v>
          </cell>
          <cell r="Z876">
            <v>0</v>
          </cell>
        </row>
        <row r="877">
          <cell r="T877">
            <v>0</v>
          </cell>
          <cell r="Z877">
            <v>0</v>
          </cell>
        </row>
        <row r="878">
          <cell r="T878">
            <v>0</v>
          </cell>
          <cell r="Z878">
            <v>0</v>
          </cell>
        </row>
        <row r="879">
          <cell r="T879">
            <v>0</v>
          </cell>
          <cell r="Z879">
            <v>0</v>
          </cell>
        </row>
        <row r="880">
          <cell r="T880">
            <v>0</v>
          </cell>
          <cell r="Z880">
            <v>0</v>
          </cell>
        </row>
        <row r="881">
          <cell r="T881">
            <v>0</v>
          </cell>
          <cell r="Z881">
            <v>0</v>
          </cell>
        </row>
        <row r="882">
          <cell r="T882">
            <v>0</v>
          </cell>
          <cell r="Z882">
            <v>0</v>
          </cell>
        </row>
        <row r="883">
          <cell r="T883">
            <v>0</v>
          </cell>
          <cell r="Z883">
            <v>0</v>
          </cell>
        </row>
        <row r="884">
          <cell r="T884">
            <v>0</v>
          </cell>
          <cell r="Z884">
            <v>0</v>
          </cell>
        </row>
        <row r="885">
          <cell r="T885">
            <v>0</v>
          </cell>
          <cell r="Z885">
            <v>0</v>
          </cell>
        </row>
        <row r="886">
          <cell r="T886">
            <v>0</v>
          </cell>
          <cell r="Z886">
            <v>0</v>
          </cell>
        </row>
        <row r="887">
          <cell r="T887">
            <v>0</v>
          </cell>
          <cell r="Z887">
            <v>0</v>
          </cell>
        </row>
        <row r="888">
          <cell r="T888">
            <v>0</v>
          </cell>
          <cell r="Z888">
            <v>0</v>
          </cell>
        </row>
        <row r="889">
          <cell r="T889">
            <v>0</v>
          </cell>
          <cell r="Z889">
            <v>0</v>
          </cell>
        </row>
        <row r="890">
          <cell r="T890">
            <v>0</v>
          </cell>
          <cell r="Z890">
            <v>0</v>
          </cell>
        </row>
        <row r="891">
          <cell r="T891">
            <v>0</v>
          </cell>
          <cell r="Z891">
            <v>0</v>
          </cell>
        </row>
        <row r="892">
          <cell r="T892">
            <v>0</v>
          </cell>
          <cell r="Z892">
            <v>0</v>
          </cell>
        </row>
        <row r="893">
          <cell r="T893">
            <v>0</v>
          </cell>
          <cell r="Z893">
            <v>0</v>
          </cell>
        </row>
        <row r="894">
          <cell r="T894">
            <v>0</v>
          </cell>
          <cell r="Z894">
            <v>0</v>
          </cell>
        </row>
        <row r="895">
          <cell r="T895">
            <v>0</v>
          </cell>
          <cell r="Z895">
            <v>0</v>
          </cell>
        </row>
        <row r="896">
          <cell r="T896">
            <v>0</v>
          </cell>
          <cell r="Z896">
            <v>0</v>
          </cell>
        </row>
        <row r="897">
          <cell r="T897">
            <v>0</v>
          </cell>
          <cell r="Z897">
            <v>0</v>
          </cell>
        </row>
        <row r="898">
          <cell r="T898">
            <v>0</v>
          </cell>
          <cell r="Z898">
            <v>0</v>
          </cell>
        </row>
        <row r="899">
          <cell r="T899">
            <v>0</v>
          </cell>
          <cell r="Z899">
            <v>0</v>
          </cell>
        </row>
        <row r="900">
          <cell r="T900">
            <v>0</v>
          </cell>
          <cell r="Z900">
            <v>0</v>
          </cell>
        </row>
        <row r="901">
          <cell r="T901">
            <v>0</v>
          </cell>
          <cell r="Z901">
            <v>0</v>
          </cell>
        </row>
        <row r="902">
          <cell r="T902">
            <v>0</v>
          </cell>
          <cell r="Z902">
            <v>0</v>
          </cell>
        </row>
        <row r="903">
          <cell r="T903">
            <v>0</v>
          </cell>
          <cell r="Z903">
            <v>0</v>
          </cell>
        </row>
        <row r="904">
          <cell r="T904">
            <v>0</v>
          </cell>
          <cell r="Z904">
            <v>0</v>
          </cell>
        </row>
        <row r="905">
          <cell r="T905">
            <v>0</v>
          </cell>
          <cell r="Z905">
            <v>0</v>
          </cell>
        </row>
        <row r="906">
          <cell r="T906">
            <v>0</v>
          </cell>
          <cell r="Z906">
            <v>0</v>
          </cell>
        </row>
        <row r="907">
          <cell r="T907">
            <v>0</v>
          </cell>
          <cell r="Z907">
            <v>0</v>
          </cell>
        </row>
        <row r="908">
          <cell r="T908">
            <v>0</v>
          </cell>
          <cell r="Z908">
            <v>0</v>
          </cell>
        </row>
        <row r="909">
          <cell r="T909">
            <v>0</v>
          </cell>
          <cell r="Z909">
            <v>0</v>
          </cell>
        </row>
        <row r="910">
          <cell r="T910">
            <v>0</v>
          </cell>
          <cell r="Z910">
            <v>0</v>
          </cell>
        </row>
        <row r="911">
          <cell r="T911">
            <v>0</v>
          </cell>
          <cell r="Z911">
            <v>0</v>
          </cell>
        </row>
        <row r="912">
          <cell r="T912">
            <v>0</v>
          </cell>
          <cell r="Z912">
            <v>0</v>
          </cell>
        </row>
        <row r="913">
          <cell r="T913">
            <v>0</v>
          </cell>
          <cell r="Z913">
            <v>0</v>
          </cell>
        </row>
        <row r="914">
          <cell r="T914">
            <v>0</v>
          </cell>
          <cell r="Z914">
            <v>0</v>
          </cell>
        </row>
        <row r="915">
          <cell r="T915">
            <v>0</v>
          </cell>
          <cell r="Z915">
            <v>0</v>
          </cell>
        </row>
        <row r="916">
          <cell r="T916">
            <v>0</v>
          </cell>
          <cell r="Z916">
            <v>0</v>
          </cell>
        </row>
        <row r="917">
          <cell r="T917">
            <v>0</v>
          </cell>
          <cell r="Z917">
            <v>0</v>
          </cell>
        </row>
        <row r="918">
          <cell r="T918">
            <v>0</v>
          </cell>
          <cell r="Z918">
            <v>0</v>
          </cell>
        </row>
        <row r="919">
          <cell r="T919">
            <v>0</v>
          </cell>
          <cell r="Z919">
            <v>0</v>
          </cell>
        </row>
        <row r="920">
          <cell r="T920">
            <v>0</v>
          </cell>
          <cell r="Z920">
            <v>0</v>
          </cell>
        </row>
        <row r="921">
          <cell r="T921">
            <v>0</v>
          </cell>
          <cell r="Z921">
            <v>0</v>
          </cell>
        </row>
        <row r="922">
          <cell r="T922">
            <v>0</v>
          </cell>
          <cell r="Z922">
            <v>0</v>
          </cell>
        </row>
        <row r="923">
          <cell r="T923">
            <v>0</v>
          </cell>
          <cell r="Z923">
            <v>0</v>
          </cell>
        </row>
        <row r="924">
          <cell r="T924">
            <v>0</v>
          </cell>
          <cell r="Z924">
            <v>0</v>
          </cell>
        </row>
        <row r="925">
          <cell r="T925">
            <v>0</v>
          </cell>
          <cell r="Z925">
            <v>0</v>
          </cell>
        </row>
        <row r="926">
          <cell r="T926">
            <v>0</v>
          </cell>
          <cell r="Z926">
            <v>0</v>
          </cell>
        </row>
        <row r="927">
          <cell r="T927">
            <v>0</v>
          </cell>
          <cell r="Z927">
            <v>0</v>
          </cell>
        </row>
        <row r="928">
          <cell r="T928">
            <v>0</v>
          </cell>
          <cell r="Z928">
            <v>0</v>
          </cell>
        </row>
        <row r="929">
          <cell r="T929">
            <v>0</v>
          </cell>
          <cell r="Z929">
            <v>0</v>
          </cell>
        </row>
        <row r="930">
          <cell r="T930">
            <v>0</v>
          </cell>
          <cell r="Z930">
            <v>0</v>
          </cell>
        </row>
        <row r="931">
          <cell r="T931">
            <v>0</v>
          </cell>
          <cell r="Z931">
            <v>0</v>
          </cell>
        </row>
        <row r="932">
          <cell r="T932">
            <v>0</v>
          </cell>
          <cell r="Z932">
            <v>0</v>
          </cell>
        </row>
        <row r="933">
          <cell r="T933">
            <v>0</v>
          </cell>
          <cell r="Z933">
            <v>0</v>
          </cell>
        </row>
        <row r="934">
          <cell r="T934">
            <v>0</v>
          </cell>
          <cell r="Z934">
            <v>0</v>
          </cell>
        </row>
        <row r="935">
          <cell r="T935">
            <v>0</v>
          </cell>
          <cell r="Z935">
            <v>0</v>
          </cell>
        </row>
        <row r="936">
          <cell r="T936">
            <v>0</v>
          </cell>
          <cell r="Z936">
            <v>0</v>
          </cell>
        </row>
        <row r="937">
          <cell r="T937">
            <v>0</v>
          </cell>
          <cell r="Z937">
            <v>0</v>
          </cell>
        </row>
        <row r="938">
          <cell r="T938">
            <v>0</v>
          </cell>
          <cell r="Z938">
            <v>0</v>
          </cell>
        </row>
        <row r="939">
          <cell r="T939">
            <v>0</v>
          </cell>
          <cell r="Z939">
            <v>0</v>
          </cell>
        </row>
        <row r="940">
          <cell r="T940">
            <v>0</v>
          </cell>
          <cell r="Z940">
            <v>0</v>
          </cell>
        </row>
        <row r="941">
          <cell r="T941">
            <v>0</v>
          </cell>
          <cell r="Z941">
            <v>0</v>
          </cell>
        </row>
        <row r="942">
          <cell r="T942">
            <v>0</v>
          </cell>
          <cell r="Z942">
            <v>0</v>
          </cell>
        </row>
        <row r="943">
          <cell r="T943">
            <v>0</v>
          </cell>
          <cell r="Z943">
            <v>0</v>
          </cell>
        </row>
        <row r="944">
          <cell r="T944">
            <v>0</v>
          </cell>
          <cell r="Z944">
            <v>0</v>
          </cell>
        </row>
        <row r="945">
          <cell r="T945">
            <v>0</v>
          </cell>
          <cell r="Z945">
            <v>0</v>
          </cell>
        </row>
        <row r="946">
          <cell r="T946">
            <v>0</v>
          </cell>
          <cell r="Z946">
            <v>0</v>
          </cell>
        </row>
        <row r="947">
          <cell r="T947">
            <v>0</v>
          </cell>
          <cell r="Z947">
            <v>0</v>
          </cell>
        </row>
        <row r="948">
          <cell r="T948">
            <v>0</v>
          </cell>
          <cell r="Z948">
            <v>0</v>
          </cell>
        </row>
        <row r="949">
          <cell r="T949">
            <v>0</v>
          </cell>
          <cell r="Z949">
            <v>0</v>
          </cell>
        </row>
        <row r="950">
          <cell r="T950">
            <v>0</v>
          </cell>
          <cell r="Z950">
            <v>0</v>
          </cell>
        </row>
        <row r="951">
          <cell r="T951">
            <v>0</v>
          </cell>
          <cell r="Z951">
            <v>0</v>
          </cell>
        </row>
        <row r="952">
          <cell r="T952">
            <v>0</v>
          </cell>
          <cell r="Z952">
            <v>0</v>
          </cell>
        </row>
        <row r="953">
          <cell r="T953">
            <v>0</v>
          </cell>
          <cell r="Z953">
            <v>0</v>
          </cell>
        </row>
        <row r="954">
          <cell r="T954">
            <v>0</v>
          </cell>
          <cell r="Z954">
            <v>0</v>
          </cell>
        </row>
        <row r="955">
          <cell r="T955">
            <v>0</v>
          </cell>
          <cell r="Z955">
            <v>0</v>
          </cell>
        </row>
        <row r="956">
          <cell r="T956">
            <v>0</v>
          </cell>
          <cell r="Z956">
            <v>0</v>
          </cell>
        </row>
        <row r="957">
          <cell r="T957">
            <v>0</v>
          </cell>
          <cell r="Z957">
            <v>0</v>
          </cell>
        </row>
        <row r="958">
          <cell r="T958">
            <v>0</v>
          </cell>
          <cell r="Z958">
            <v>0</v>
          </cell>
        </row>
        <row r="959">
          <cell r="T959">
            <v>0</v>
          </cell>
          <cell r="Z959">
            <v>0</v>
          </cell>
        </row>
        <row r="960">
          <cell r="T960">
            <v>0</v>
          </cell>
          <cell r="Z960">
            <v>0</v>
          </cell>
        </row>
        <row r="961">
          <cell r="T961">
            <v>0</v>
          </cell>
          <cell r="Z961">
            <v>0</v>
          </cell>
        </row>
        <row r="962">
          <cell r="T962">
            <v>0</v>
          </cell>
          <cell r="Z962">
            <v>0</v>
          </cell>
        </row>
        <row r="963">
          <cell r="T963">
            <v>0</v>
          </cell>
          <cell r="Z963">
            <v>0</v>
          </cell>
        </row>
        <row r="964">
          <cell r="T964">
            <v>0</v>
          </cell>
          <cell r="Z964">
            <v>0</v>
          </cell>
        </row>
        <row r="965">
          <cell r="T965">
            <v>0</v>
          </cell>
          <cell r="Z965">
            <v>0</v>
          </cell>
        </row>
        <row r="966">
          <cell r="T966">
            <v>0</v>
          </cell>
          <cell r="Z966">
            <v>0</v>
          </cell>
        </row>
        <row r="967">
          <cell r="T967">
            <v>0</v>
          </cell>
          <cell r="Z967">
            <v>0</v>
          </cell>
        </row>
        <row r="968">
          <cell r="T968">
            <v>0</v>
          </cell>
          <cell r="Z968">
            <v>0</v>
          </cell>
        </row>
        <row r="969">
          <cell r="T969">
            <v>0</v>
          </cell>
          <cell r="Z969">
            <v>0</v>
          </cell>
        </row>
        <row r="970">
          <cell r="T970">
            <v>0</v>
          </cell>
          <cell r="Z970">
            <v>0</v>
          </cell>
        </row>
        <row r="971">
          <cell r="T971">
            <v>0</v>
          </cell>
          <cell r="Z971">
            <v>0</v>
          </cell>
        </row>
        <row r="972">
          <cell r="T972">
            <v>0</v>
          </cell>
          <cell r="Z972">
            <v>0</v>
          </cell>
        </row>
        <row r="973">
          <cell r="T973">
            <v>0</v>
          </cell>
          <cell r="Z973">
            <v>0</v>
          </cell>
        </row>
        <row r="974">
          <cell r="T974">
            <v>0</v>
          </cell>
          <cell r="Z974">
            <v>0</v>
          </cell>
        </row>
        <row r="975">
          <cell r="T975">
            <v>0</v>
          </cell>
          <cell r="Z975">
            <v>0</v>
          </cell>
        </row>
        <row r="976">
          <cell r="T976">
            <v>0</v>
          </cell>
          <cell r="Z976">
            <v>0</v>
          </cell>
        </row>
        <row r="977">
          <cell r="T977">
            <v>0</v>
          </cell>
          <cell r="Z977">
            <v>0</v>
          </cell>
        </row>
        <row r="978">
          <cell r="T978">
            <v>0</v>
          </cell>
          <cell r="Z978">
            <v>0</v>
          </cell>
        </row>
        <row r="979">
          <cell r="T979">
            <v>0</v>
          </cell>
          <cell r="Z979">
            <v>0</v>
          </cell>
        </row>
        <row r="980">
          <cell r="T980">
            <v>0</v>
          </cell>
          <cell r="Z980">
            <v>0</v>
          </cell>
        </row>
        <row r="981">
          <cell r="T981">
            <v>0</v>
          </cell>
          <cell r="Z981">
            <v>0</v>
          </cell>
        </row>
        <row r="982">
          <cell r="T982">
            <v>0</v>
          </cell>
          <cell r="Z982">
            <v>0</v>
          </cell>
        </row>
        <row r="983">
          <cell r="T983">
            <v>0</v>
          </cell>
          <cell r="Z983">
            <v>0</v>
          </cell>
        </row>
        <row r="984">
          <cell r="T984">
            <v>0</v>
          </cell>
          <cell r="Z984">
            <v>0</v>
          </cell>
        </row>
        <row r="985">
          <cell r="T985">
            <v>0</v>
          </cell>
          <cell r="Z985">
            <v>0</v>
          </cell>
        </row>
        <row r="986">
          <cell r="T986">
            <v>0</v>
          </cell>
          <cell r="Z986">
            <v>0</v>
          </cell>
        </row>
        <row r="987">
          <cell r="T987">
            <v>0</v>
          </cell>
          <cell r="Z987">
            <v>0</v>
          </cell>
        </row>
        <row r="988">
          <cell r="T988">
            <v>0</v>
          </cell>
          <cell r="Z988">
            <v>0</v>
          </cell>
        </row>
        <row r="989">
          <cell r="T989">
            <v>0</v>
          </cell>
          <cell r="Z989">
            <v>0</v>
          </cell>
        </row>
        <row r="990">
          <cell r="T990">
            <v>0</v>
          </cell>
          <cell r="Z990">
            <v>0</v>
          </cell>
        </row>
        <row r="991">
          <cell r="T991">
            <v>0</v>
          </cell>
          <cell r="Z991">
            <v>0</v>
          </cell>
        </row>
        <row r="992">
          <cell r="T992">
            <v>0</v>
          </cell>
          <cell r="Z992">
            <v>0</v>
          </cell>
        </row>
        <row r="993">
          <cell r="T993">
            <v>0</v>
          </cell>
          <cell r="Z993">
            <v>0</v>
          </cell>
        </row>
        <row r="994">
          <cell r="T994">
            <v>0</v>
          </cell>
          <cell r="Z994">
            <v>0</v>
          </cell>
        </row>
        <row r="995">
          <cell r="T995">
            <v>0</v>
          </cell>
          <cell r="Z995">
            <v>0</v>
          </cell>
        </row>
        <row r="996">
          <cell r="T996">
            <v>0</v>
          </cell>
          <cell r="Z996">
            <v>0</v>
          </cell>
        </row>
        <row r="997">
          <cell r="T997">
            <v>0</v>
          </cell>
          <cell r="Z997">
            <v>0</v>
          </cell>
        </row>
        <row r="998">
          <cell r="T998">
            <v>0</v>
          </cell>
          <cell r="Z998">
            <v>0</v>
          </cell>
        </row>
        <row r="999">
          <cell r="T999">
            <v>0</v>
          </cell>
          <cell r="Z999">
            <v>0</v>
          </cell>
        </row>
        <row r="1000">
          <cell r="T1000">
            <v>0</v>
          </cell>
          <cell r="Z1000">
            <v>0</v>
          </cell>
        </row>
        <row r="1001">
          <cell r="T1001">
            <v>0</v>
          </cell>
          <cell r="Z1001">
            <v>0</v>
          </cell>
        </row>
        <row r="1002">
          <cell r="T1002">
            <v>0</v>
          </cell>
          <cell r="Z1002">
            <v>0</v>
          </cell>
        </row>
        <row r="1003">
          <cell r="T1003">
            <v>0</v>
          </cell>
          <cell r="Z1003">
            <v>0</v>
          </cell>
        </row>
        <row r="1004">
          <cell r="T1004">
            <v>0</v>
          </cell>
          <cell r="Z1004">
            <v>0</v>
          </cell>
        </row>
        <row r="1005">
          <cell r="T1005">
            <v>0</v>
          </cell>
          <cell r="Z1005">
            <v>0</v>
          </cell>
        </row>
        <row r="1006">
          <cell r="T1006">
            <v>0</v>
          </cell>
          <cell r="Z1006">
            <v>0</v>
          </cell>
        </row>
        <row r="1007">
          <cell r="T1007">
            <v>0</v>
          </cell>
          <cell r="Z1007">
            <v>0</v>
          </cell>
        </row>
        <row r="1008">
          <cell r="T1008">
            <v>0</v>
          </cell>
          <cell r="Z1008">
            <v>0</v>
          </cell>
        </row>
        <row r="1009">
          <cell r="T1009">
            <v>0</v>
          </cell>
          <cell r="Z1009">
            <v>0</v>
          </cell>
        </row>
        <row r="1010">
          <cell r="T1010">
            <v>0</v>
          </cell>
          <cell r="Z1010">
            <v>0</v>
          </cell>
        </row>
        <row r="1011">
          <cell r="T1011">
            <v>0</v>
          </cell>
          <cell r="Z1011">
            <v>0</v>
          </cell>
        </row>
        <row r="1012">
          <cell r="T1012">
            <v>0</v>
          </cell>
          <cell r="Z1012">
            <v>0</v>
          </cell>
        </row>
        <row r="1013">
          <cell r="T1013">
            <v>0</v>
          </cell>
          <cell r="Z1013">
            <v>0</v>
          </cell>
        </row>
        <row r="1014">
          <cell r="T1014">
            <v>0</v>
          </cell>
          <cell r="Z1014">
            <v>0</v>
          </cell>
        </row>
        <row r="1015">
          <cell r="T1015">
            <v>0</v>
          </cell>
          <cell r="Z1015">
            <v>0</v>
          </cell>
        </row>
        <row r="1016">
          <cell r="T1016">
            <v>0</v>
          </cell>
          <cell r="Z1016">
            <v>0</v>
          </cell>
        </row>
        <row r="1017">
          <cell r="T1017">
            <v>0</v>
          </cell>
          <cell r="Z1017">
            <v>0</v>
          </cell>
        </row>
        <row r="1018">
          <cell r="T1018">
            <v>0</v>
          </cell>
          <cell r="Z1018">
            <v>0</v>
          </cell>
        </row>
        <row r="1019">
          <cell r="T1019">
            <v>0</v>
          </cell>
          <cell r="Z1019">
            <v>0</v>
          </cell>
        </row>
        <row r="1020">
          <cell r="T1020">
            <v>0</v>
          </cell>
          <cell r="Z1020">
            <v>0</v>
          </cell>
        </row>
        <row r="1021">
          <cell r="T1021">
            <v>0</v>
          </cell>
          <cell r="Z1021">
            <v>0</v>
          </cell>
        </row>
        <row r="1022">
          <cell r="T1022">
            <v>0</v>
          </cell>
          <cell r="Z1022">
            <v>0</v>
          </cell>
        </row>
        <row r="1023">
          <cell r="T1023">
            <v>0</v>
          </cell>
          <cell r="Z1023">
            <v>0</v>
          </cell>
        </row>
        <row r="1024">
          <cell r="T1024">
            <v>0</v>
          </cell>
          <cell r="Z1024">
            <v>0</v>
          </cell>
        </row>
        <row r="1025">
          <cell r="T1025">
            <v>0</v>
          </cell>
          <cell r="Z1025">
            <v>0</v>
          </cell>
        </row>
        <row r="1026">
          <cell r="T1026">
            <v>0</v>
          </cell>
          <cell r="Z1026">
            <v>0</v>
          </cell>
        </row>
        <row r="1027">
          <cell r="T1027">
            <v>0</v>
          </cell>
          <cell r="Z1027">
            <v>0</v>
          </cell>
        </row>
        <row r="1028">
          <cell r="T1028">
            <v>0</v>
          </cell>
          <cell r="Z1028">
            <v>0</v>
          </cell>
        </row>
        <row r="1029">
          <cell r="T1029">
            <v>0</v>
          </cell>
          <cell r="Z1029">
            <v>0</v>
          </cell>
        </row>
        <row r="1030">
          <cell r="T1030">
            <v>0</v>
          </cell>
          <cell r="Z1030">
            <v>0</v>
          </cell>
        </row>
        <row r="1031">
          <cell r="T1031">
            <v>0</v>
          </cell>
          <cell r="Z1031">
            <v>0</v>
          </cell>
        </row>
        <row r="1032">
          <cell r="T1032">
            <v>0</v>
          </cell>
          <cell r="Z1032">
            <v>0</v>
          </cell>
        </row>
        <row r="1033">
          <cell r="T1033">
            <v>0</v>
          </cell>
          <cell r="Z1033">
            <v>0</v>
          </cell>
        </row>
        <row r="1034">
          <cell r="T1034">
            <v>0</v>
          </cell>
          <cell r="Z1034">
            <v>0</v>
          </cell>
        </row>
        <row r="1035">
          <cell r="T1035">
            <v>0</v>
          </cell>
          <cell r="Z1035">
            <v>0</v>
          </cell>
        </row>
        <row r="1036">
          <cell r="T1036">
            <v>0</v>
          </cell>
          <cell r="Z1036">
            <v>0</v>
          </cell>
        </row>
        <row r="1037">
          <cell r="T1037">
            <v>0</v>
          </cell>
          <cell r="Z1037">
            <v>0</v>
          </cell>
        </row>
        <row r="1038">
          <cell r="T1038">
            <v>0</v>
          </cell>
          <cell r="Z1038">
            <v>0</v>
          </cell>
        </row>
        <row r="1039">
          <cell r="T1039">
            <v>0</v>
          </cell>
          <cell r="Z1039">
            <v>0</v>
          </cell>
        </row>
        <row r="1040">
          <cell r="T1040">
            <v>0</v>
          </cell>
          <cell r="Z1040">
            <v>0</v>
          </cell>
        </row>
        <row r="1041">
          <cell r="T1041">
            <v>0</v>
          </cell>
          <cell r="Z1041">
            <v>0</v>
          </cell>
        </row>
        <row r="1042">
          <cell r="T1042">
            <v>0</v>
          </cell>
          <cell r="Z1042">
            <v>0</v>
          </cell>
        </row>
        <row r="1043">
          <cell r="T1043">
            <v>0</v>
          </cell>
          <cell r="Z1043">
            <v>0</v>
          </cell>
        </row>
        <row r="1044">
          <cell r="T1044">
            <v>0</v>
          </cell>
          <cell r="Z1044">
            <v>0</v>
          </cell>
        </row>
        <row r="1045">
          <cell r="T1045">
            <v>0</v>
          </cell>
          <cell r="Z1045">
            <v>0</v>
          </cell>
        </row>
        <row r="1046">
          <cell r="T1046">
            <v>0</v>
          </cell>
          <cell r="Z1046">
            <v>0</v>
          </cell>
        </row>
        <row r="1047">
          <cell r="T1047">
            <v>0</v>
          </cell>
          <cell r="Z1047">
            <v>0</v>
          </cell>
        </row>
        <row r="1048">
          <cell r="T1048">
            <v>0</v>
          </cell>
          <cell r="Z1048">
            <v>0</v>
          </cell>
        </row>
        <row r="1049">
          <cell r="T1049">
            <v>0</v>
          </cell>
          <cell r="Z1049">
            <v>0</v>
          </cell>
        </row>
        <row r="1050">
          <cell r="T1050">
            <v>0</v>
          </cell>
          <cell r="Z1050">
            <v>0</v>
          </cell>
        </row>
        <row r="1051">
          <cell r="T1051">
            <v>0</v>
          </cell>
          <cell r="Z1051">
            <v>0</v>
          </cell>
        </row>
        <row r="1052">
          <cell r="T1052">
            <v>0</v>
          </cell>
          <cell r="Z1052">
            <v>0</v>
          </cell>
        </row>
        <row r="1053">
          <cell r="T1053">
            <v>0</v>
          </cell>
          <cell r="Z1053">
            <v>0</v>
          </cell>
        </row>
        <row r="1054">
          <cell r="T1054">
            <v>0</v>
          </cell>
          <cell r="Z1054">
            <v>0</v>
          </cell>
        </row>
        <row r="1055">
          <cell r="T1055">
            <v>0</v>
          </cell>
          <cell r="Z1055">
            <v>0</v>
          </cell>
        </row>
        <row r="1056">
          <cell r="T1056">
            <v>0</v>
          </cell>
          <cell r="Z1056">
            <v>0</v>
          </cell>
        </row>
        <row r="1057">
          <cell r="T1057">
            <v>0</v>
          </cell>
          <cell r="Z1057">
            <v>0</v>
          </cell>
        </row>
        <row r="1058">
          <cell r="T1058">
            <v>0</v>
          </cell>
          <cell r="Z1058">
            <v>0</v>
          </cell>
        </row>
        <row r="1059">
          <cell r="T1059">
            <v>0</v>
          </cell>
          <cell r="Z1059">
            <v>0</v>
          </cell>
        </row>
        <row r="1060">
          <cell r="T1060">
            <v>0</v>
          </cell>
          <cell r="Z1060">
            <v>0</v>
          </cell>
        </row>
        <row r="1061">
          <cell r="T1061">
            <v>0</v>
          </cell>
          <cell r="Z1061">
            <v>0</v>
          </cell>
        </row>
        <row r="1062">
          <cell r="T1062">
            <v>0</v>
          </cell>
          <cell r="Z1062">
            <v>0</v>
          </cell>
        </row>
        <row r="1063">
          <cell r="T1063">
            <v>0</v>
          </cell>
          <cell r="Z1063">
            <v>0</v>
          </cell>
        </row>
        <row r="1064">
          <cell r="T1064">
            <v>0</v>
          </cell>
          <cell r="Z1064">
            <v>0</v>
          </cell>
        </row>
        <row r="1065">
          <cell r="T1065">
            <v>0</v>
          </cell>
          <cell r="Z1065">
            <v>0</v>
          </cell>
        </row>
        <row r="1066">
          <cell r="T1066">
            <v>0</v>
          </cell>
          <cell r="Z1066">
            <v>0</v>
          </cell>
        </row>
        <row r="1067">
          <cell r="T1067">
            <v>0</v>
          </cell>
          <cell r="Z1067">
            <v>0</v>
          </cell>
        </row>
        <row r="1068">
          <cell r="T1068">
            <v>0</v>
          </cell>
          <cell r="Z1068">
            <v>0</v>
          </cell>
        </row>
        <row r="1069">
          <cell r="T1069">
            <v>0</v>
          </cell>
          <cell r="Z1069">
            <v>0</v>
          </cell>
        </row>
        <row r="1070">
          <cell r="T1070">
            <v>0</v>
          </cell>
          <cell r="Z1070">
            <v>0</v>
          </cell>
        </row>
        <row r="1071">
          <cell r="T1071">
            <v>0</v>
          </cell>
          <cell r="Z1071">
            <v>0</v>
          </cell>
        </row>
        <row r="1072">
          <cell r="T1072">
            <v>0</v>
          </cell>
          <cell r="Z1072">
            <v>0</v>
          </cell>
        </row>
        <row r="1073">
          <cell r="T1073">
            <v>0</v>
          </cell>
          <cell r="Z1073">
            <v>0</v>
          </cell>
        </row>
        <row r="1074">
          <cell r="T1074">
            <v>0</v>
          </cell>
          <cell r="Z1074">
            <v>0</v>
          </cell>
        </row>
        <row r="1075">
          <cell r="T1075">
            <v>0</v>
          </cell>
          <cell r="Z1075">
            <v>0</v>
          </cell>
        </row>
        <row r="1076">
          <cell r="T1076">
            <v>0</v>
          </cell>
          <cell r="Z1076">
            <v>0</v>
          </cell>
        </row>
        <row r="1077">
          <cell r="T1077">
            <v>0</v>
          </cell>
          <cell r="Z1077">
            <v>0</v>
          </cell>
        </row>
        <row r="1078">
          <cell r="T1078">
            <v>0</v>
          </cell>
          <cell r="Z1078">
            <v>0</v>
          </cell>
        </row>
        <row r="1079">
          <cell r="T1079">
            <v>0</v>
          </cell>
          <cell r="Z1079">
            <v>0</v>
          </cell>
        </row>
        <row r="1080">
          <cell r="T1080">
            <v>0</v>
          </cell>
          <cell r="Z1080">
            <v>0</v>
          </cell>
        </row>
        <row r="1081">
          <cell r="T1081">
            <v>0</v>
          </cell>
          <cell r="Z1081">
            <v>0</v>
          </cell>
        </row>
        <row r="1082">
          <cell r="T1082">
            <v>0</v>
          </cell>
          <cell r="Z1082">
            <v>0</v>
          </cell>
        </row>
        <row r="1083">
          <cell r="T1083">
            <v>0</v>
          </cell>
          <cell r="Z1083">
            <v>0</v>
          </cell>
        </row>
        <row r="1084">
          <cell r="T1084">
            <v>0</v>
          </cell>
          <cell r="Z1084">
            <v>0</v>
          </cell>
        </row>
        <row r="1085">
          <cell r="T1085">
            <v>0</v>
          </cell>
          <cell r="Z1085">
            <v>0</v>
          </cell>
        </row>
        <row r="1086">
          <cell r="T1086">
            <v>0</v>
          </cell>
          <cell r="Z1086">
            <v>0</v>
          </cell>
        </row>
        <row r="1087">
          <cell r="T1087">
            <v>0</v>
          </cell>
          <cell r="Z1087">
            <v>0</v>
          </cell>
        </row>
        <row r="1088">
          <cell r="T1088">
            <v>0</v>
          </cell>
          <cell r="Z1088">
            <v>0</v>
          </cell>
        </row>
        <row r="1089">
          <cell r="T1089">
            <v>0</v>
          </cell>
          <cell r="Z1089">
            <v>0</v>
          </cell>
        </row>
        <row r="1090">
          <cell r="T1090">
            <v>0</v>
          </cell>
          <cell r="Z1090">
            <v>0</v>
          </cell>
        </row>
        <row r="1091">
          <cell r="T1091">
            <v>0</v>
          </cell>
          <cell r="Z1091">
            <v>0</v>
          </cell>
        </row>
        <row r="1092">
          <cell r="T1092">
            <v>0</v>
          </cell>
          <cell r="Z1092">
            <v>0</v>
          </cell>
        </row>
        <row r="1093">
          <cell r="T1093">
            <v>0</v>
          </cell>
          <cell r="Z1093">
            <v>0</v>
          </cell>
        </row>
        <row r="1094">
          <cell r="T1094">
            <v>0</v>
          </cell>
          <cell r="Z1094">
            <v>0</v>
          </cell>
        </row>
        <row r="1095">
          <cell r="T1095">
            <v>0</v>
          </cell>
          <cell r="Z1095">
            <v>0</v>
          </cell>
        </row>
        <row r="1096">
          <cell r="T1096">
            <v>0</v>
          </cell>
          <cell r="Z1096">
            <v>0</v>
          </cell>
        </row>
        <row r="1097">
          <cell r="T1097">
            <v>0</v>
          </cell>
          <cell r="Z1097">
            <v>0</v>
          </cell>
        </row>
        <row r="1098">
          <cell r="T1098">
            <v>0</v>
          </cell>
          <cell r="Z1098">
            <v>0</v>
          </cell>
        </row>
        <row r="1099">
          <cell r="T1099">
            <v>0</v>
          </cell>
          <cell r="Z1099">
            <v>0</v>
          </cell>
        </row>
        <row r="1100">
          <cell r="T1100">
            <v>0</v>
          </cell>
          <cell r="Z1100">
            <v>0</v>
          </cell>
        </row>
        <row r="1101">
          <cell r="T1101">
            <v>0</v>
          </cell>
          <cell r="Z1101">
            <v>0</v>
          </cell>
        </row>
        <row r="1102">
          <cell r="T1102">
            <v>0</v>
          </cell>
          <cell r="Z1102">
            <v>0</v>
          </cell>
        </row>
        <row r="1103">
          <cell r="T1103">
            <v>0</v>
          </cell>
          <cell r="Z1103">
            <v>0</v>
          </cell>
        </row>
        <row r="1104">
          <cell r="T1104">
            <v>0</v>
          </cell>
          <cell r="Z1104">
            <v>0</v>
          </cell>
        </row>
        <row r="1105">
          <cell r="T1105">
            <v>0</v>
          </cell>
          <cell r="Z1105">
            <v>0</v>
          </cell>
        </row>
        <row r="1106">
          <cell r="T1106">
            <v>0</v>
          </cell>
          <cell r="Z1106">
            <v>0</v>
          </cell>
        </row>
        <row r="1107">
          <cell r="T1107">
            <v>0</v>
          </cell>
          <cell r="Z1107">
            <v>0</v>
          </cell>
        </row>
        <row r="1108">
          <cell r="T1108">
            <v>0</v>
          </cell>
          <cell r="Z1108">
            <v>0</v>
          </cell>
        </row>
        <row r="1109">
          <cell r="T1109">
            <v>0</v>
          </cell>
          <cell r="Z1109">
            <v>0</v>
          </cell>
        </row>
        <row r="1110">
          <cell r="T1110">
            <v>0</v>
          </cell>
          <cell r="Z1110">
            <v>0</v>
          </cell>
        </row>
        <row r="1111">
          <cell r="T1111">
            <v>0</v>
          </cell>
          <cell r="Z1111">
            <v>0</v>
          </cell>
        </row>
        <row r="1112">
          <cell r="T1112">
            <v>0</v>
          </cell>
          <cell r="Z1112">
            <v>0</v>
          </cell>
        </row>
        <row r="1113">
          <cell r="T1113">
            <v>0</v>
          </cell>
          <cell r="Z1113">
            <v>0</v>
          </cell>
        </row>
        <row r="1114">
          <cell r="T1114">
            <v>0</v>
          </cell>
          <cell r="Z1114">
            <v>0</v>
          </cell>
        </row>
        <row r="1115">
          <cell r="T1115">
            <v>0</v>
          </cell>
          <cell r="Z1115">
            <v>0</v>
          </cell>
        </row>
        <row r="1116">
          <cell r="T1116">
            <v>0</v>
          </cell>
          <cell r="Z1116">
            <v>0</v>
          </cell>
        </row>
        <row r="1117">
          <cell r="T1117">
            <v>0</v>
          </cell>
          <cell r="Z1117">
            <v>0</v>
          </cell>
        </row>
        <row r="1118">
          <cell r="T1118">
            <v>0</v>
          </cell>
          <cell r="Z1118">
            <v>0</v>
          </cell>
        </row>
        <row r="1119">
          <cell r="T1119">
            <v>0</v>
          </cell>
          <cell r="Z1119">
            <v>0</v>
          </cell>
        </row>
        <row r="1120">
          <cell r="T1120">
            <v>0</v>
          </cell>
          <cell r="Z1120">
            <v>0</v>
          </cell>
        </row>
        <row r="1121">
          <cell r="T1121">
            <v>0</v>
          </cell>
          <cell r="Z1121">
            <v>0</v>
          </cell>
        </row>
        <row r="1122">
          <cell r="T1122">
            <v>0</v>
          </cell>
          <cell r="Z1122">
            <v>0</v>
          </cell>
        </row>
        <row r="1123">
          <cell r="T1123">
            <v>0</v>
          </cell>
          <cell r="Z1123">
            <v>0</v>
          </cell>
        </row>
        <row r="1124">
          <cell r="T1124">
            <v>0</v>
          </cell>
          <cell r="Z1124">
            <v>0</v>
          </cell>
        </row>
        <row r="1125">
          <cell r="T1125">
            <v>0</v>
          </cell>
          <cell r="Z1125">
            <v>0</v>
          </cell>
        </row>
        <row r="1126">
          <cell r="T1126">
            <v>0</v>
          </cell>
          <cell r="Z1126">
            <v>0</v>
          </cell>
        </row>
        <row r="1127">
          <cell r="T1127">
            <v>0</v>
          </cell>
          <cell r="Z1127">
            <v>0</v>
          </cell>
        </row>
        <row r="1128">
          <cell r="T1128">
            <v>0</v>
          </cell>
          <cell r="Z1128">
            <v>0</v>
          </cell>
        </row>
        <row r="1129">
          <cell r="T1129">
            <v>0</v>
          </cell>
          <cell r="Z1129">
            <v>0</v>
          </cell>
        </row>
        <row r="1130">
          <cell r="T1130">
            <v>0</v>
          </cell>
          <cell r="Z1130">
            <v>0</v>
          </cell>
        </row>
        <row r="1131">
          <cell r="T1131">
            <v>0</v>
          </cell>
          <cell r="Z1131">
            <v>0</v>
          </cell>
        </row>
        <row r="1132">
          <cell r="T1132">
            <v>0</v>
          </cell>
          <cell r="Z1132">
            <v>0</v>
          </cell>
        </row>
        <row r="1133">
          <cell r="T1133">
            <v>0</v>
          </cell>
          <cell r="Z1133">
            <v>0</v>
          </cell>
        </row>
        <row r="1134">
          <cell r="T1134">
            <v>0</v>
          </cell>
          <cell r="Z1134">
            <v>0</v>
          </cell>
        </row>
        <row r="1135">
          <cell r="T1135">
            <v>0</v>
          </cell>
          <cell r="Z1135">
            <v>0</v>
          </cell>
        </row>
        <row r="1136">
          <cell r="T1136">
            <v>0</v>
          </cell>
          <cell r="Z1136">
            <v>0</v>
          </cell>
        </row>
        <row r="1137">
          <cell r="T1137">
            <v>0</v>
          </cell>
          <cell r="Z1137">
            <v>0</v>
          </cell>
        </row>
        <row r="1138">
          <cell r="T1138">
            <v>0</v>
          </cell>
          <cell r="Z1138">
            <v>0</v>
          </cell>
        </row>
        <row r="1139">
          <cell r="T1139">
            <v>0</v>
          </cell>
          <cell r="Z1139">
            <v>0</v>
          </cell>
        </row>
        <row r="1140">
          <cell r="T1140">
            <v>0</v>
          </cell>
          <cell r="Z1140">
            <v>0</v>
          </cell>
        </row>
        <row r="1141">
          <cell r="T1141">
            <v>0</v>
          </cell>
          <cell r="Z1141">
            <v>0</v>
          </cell>
        </row>
        <row r="1142">
          <cell r="T1142">
            <v>0</v>
          </cell>
          <cell r="Z1142">
            <v>0</v>
          </cell>
        </row>
        <row r="1143">
          <cell r="T1143">
            <v>0</v>
          </cell>
          <cell r="Z1143">
            <v>0</v>
          </cell>
        </row>
        <row r="1144">
          <cell r="T1144">
            <v>0</v>
          </cell>
          <cell r="Z1144">
            <v>0</v>
          </cell>
        </row>
        <row r="1145">
          <cell r="T1145">
            <v>0</v>
          </cell>
          <cell r="Z1145">
            <v>0</v>
          </cell>
        </row>
        <row r="1146">
          <cell r="T1146">
            <v>0</v>
          </cell>
          <cell r="Z1146">
            <v>0</v>
          </cell>
        </row>
        <row r="1147">
          <cell r="T1147">
            <v>0</v>
          </cell>
          <cell r="Z1147">
            <v>0</v>
          </cell>
        </row>
        <row r="1148">
          <cell r="T1148">
            <v>0</v>
          </cell>
          <cell r="Z1148">
            <v>0</v>
          </cell>
        </row>
        <row r="1149">
          <cell r="T1149">
            <v>0</v>
          </cell>
          <cell r="Z1149">
            <v>0</v>
          </cell>
        </row>
        <row r="1150">
          <cell r="T1150">
            <v>0</v>
          </cell>
          <cell r="Z1150">
            <v>0</v>
          </cell>
        </row>
        <row r="1151">
          <cell r="T1151">
            <v>0</v>
          </cell>
          <cell r="Z1151">
            <v>0</v>
          </cell>
        </row>
        <row r="1152">
          <cell r="T1152">
            <v>0</v>
          </cell>
          <cell r="Z1152">
            <v>0</v>
          </cell>
        </row>
        <row r="1153">
          <cell r="T1153">
            <v>0</v>
          </cell>
          <cell r="Z1153">
            <v>0</v>
          </cell>
        </row>
        <row r="1154">
          <cell r="T1154">
            <v>0</v>
          </cell>
          <cell r="Z1154">
            <v>0</v>
          </cell>
        </row>
        <row r="1155">
          <cell r="T1155">
            <v>0</v>
          </cell>
          <cell r="Z1155">
            <v>0</v>
          </cell>
        </row>
        <row r="1156">
          <cell r="T1156">
            <v>0</v>
          </cell>
          <cell r="Z1156">
            <v>0</v>
          </cell>
        </row>
        <row r="1157">
          <cell r="T1157">
            <v>0</v>
          </cell>
          <cell r="Z1157">
            <v>0</v>
          </cell>
        </row>
        <row r="1158">
          <cell r="T1158">
            <v>0</v>
          </cell>
          <cell r="Z1158">
            <v>0</v>
          </cell>
        </row>
        <row r="1159">
          <cell r="T1159">
            <v>0</v>
          </cell>
          <cell r="Z1159">
            <v>0</v>
          </cell>
        </row>
        <row r="1160">
          <cell r="T1160">
            <v>0</v>
          </cell>
          <cell r="Z1160">
            <v>0</v>
          </cell>
        </row>
        <row r="1161">
          <cell r="T1161">
            <v>0</v>
          </cell>
          <cell r="Z1161">
            <v>0</v>
          </cell>
        </row>
        <row r="1162">
          <cell r="T1162">
            <v>0</v>
          </cell>
          <cell r="Z1162">
            <v>0</v>
          </cell>
        </row>
        <row r="1163">
          <cell r="T1163">
            <v>0</v>
          </cell>
          <cell r="Z1163">
            <v>0</v>
          </cell>
        </row>
        <row r="1164">
          <cell r="T1164">
            <v>0</v>
          </cell>
          <cell r="Z1164">
            <v>0</v>
          </cell>
        </row>
        <row r="1165">
          <cell r="T1165">
            <v>0</v>
          </cell>
          <cell r="Z1165">
            <v>0</v>
          </cell>
        </row>
        <row r="1166">
          <cell r="T1166">
            <v>0</v>
          </cell>
          <cell r="Z1166">
            <v>0</v>
          </cell>
        </row>
        <row r="1167">
          <cell r="T1167">
            <v>0</v>
          </cell>
          <cell r="Z1167">
            <v>0</v>
          </cell>
        </row>
        <row r="1168">
          <cell r="T1168">
            <v>0</v>
          </cell>
          <cell r="Z1168">
            <v>0</v>
          </cell>
        </row>
        <row r="1169">
          <cell r="T1169">
            <v>0</v>
          </cell>
          <cell r="Z1169">
            <v>0</v>
          </cell>
        </row>
        <row r="1170">
          <cell r="T1170">
            <v>0</v>
          </cell>
          <cell r="Z1170">
            <v>0</v>
          </cell>
        </row>
        <row r="1171">
          <cell r="T1171">
            <v>0</v>
          </cell>
          <cell r="Z1171">
            <v>0</v>
          </cell>
        </row>
        <row r="1172">
          <cell r="T1172">
            <v>0</v>
          </cell>
          <cell r="Z1172">
            <v>0</v>
          </cell>
        </row>
        <row r="1173">
          <cell r="T1173">
            <v>0</v>
          </cell>
          <cell r="Z1173">
            <v>0</v>
          </cell>
        </row>
        <row r="1174">
          <cell r="T1174">
            <v>0</v>
          </cell>
          <cell r="Z1174">
            <v>0</v>
          </cell>
        </row>
        <row r="1175">
          <cell r="T1175">
            <v>0</v>
          </cell>
          <cell r="Z1175">
            <v>0</v>
          </cell>
        </row>
        <row r="1176">
          <cell r="T1176">
            <v>0</v>
          </cell>
          <cell r="Z1176">
            <v>0</v>
          </cell>
        </row>
        <row r="1177">
          <cell r="T1177">
            <v>0</v>
          </cell>
          <cell r="Z1177">
            <v>0</v>
          </cell>
        </row>
        <row r="1178">
          <cell r="T1178">
            <v>0</v>
          </cell>
          <cell r="Z1178">
            <v>0</v>
          </cell>
        </row>
        <row r="1179">
          <cell r="T1179">
            <v>0</v>
          </cell>
          <cell r="Z1179">
            <v>0</v>
          </cell>
        </row>
        <row r="1180">
          <cell r="T1180">
            <v>0</v>
          </cell>
          <cell r="Z1180">
            <v>0</v>
          </cell>
        </row>
        <row r="1181">
          <cell r="T1181">
            <v>0</v>
          </cell>
          <cell r="Z1181">
            <v>0</v>
          </cell>
        </row>
        <row r="1182">
          <cell r="T1182">
            <v>0</v>
          </cell>
          <cell r="Z1182">
            <v>0</v>
          </cell>
        </row>
        <row r="1183">
          <cell r="T1183">
            <v>0</v>
          </cell>
          <cell r="Z1183">
            <v>0</v>
          </cell>
        </row>
        <row r="1184">
          <cell r="T1184">
            <v>0</v>
          </cell>
          <cell r="Z1184">
            <v>0</v>
          </cell>
        </row>
        <row r="1185">
          <cell r="T1185">
            <v>0</v>
          </cell>
          <cell r="Z1185">
            <v>0</v>
          </cell>
        </row>
        <row r="1186">
          <cell r="T1186">
            <v>0</v>
          </cell>
          <cell r="Z1186">
            <v>0</v>
          </cell>
        </row>
        <row r="1187">
          <cell r="T1187">
            <v>0</v>
          </cell>
          <cell r="Z1187">
            <v>0</v>
          </cell>
        </row>
        <row r="1188">
          <cell r="T1188">
            <v>0</v>
          </cell>
          <cell r="Z1188">
            <v>0</v>
          </cell>
        </row>
        <row r="1189">
          <cell r="T1189">
            <v>0</v>
          </cell>
          <cell r="Z1189">
            <v>0</v>
          </cell>
        </row>
        <row r="1190">
          <cell r="T1190">
            <v>0</v>
          </cell>
          <cell r="Z1190">
            <v>0</v>
          </cell>
        </row>
        <row r="1191">
          <cell r="T1191">
            <v>0</v>
          </cell>
          <cell r="Z1191">
            <v>0</v>
          </cell>
        </row>
        <row r="1192">
          <cell r="T1192">
            <v>0</v>
          </cell>
          <cell r="Z1192">
            <v>0</v>
          </cell>
        </row>
        <row r="1193">
          <cell r="T1193">
            <v>0</v>
          </cell>
          <cell r="Z1193">
            <v>0</v>
          </cell>
        </row>
        <row r="1194">
          <cell r="T1194">
            <v>0</v>
          </cell>
          <cell r="Z1194">
            <v>0</v>
          </cell>
        </row>
        <row r="1195">
          <cell r="T1195">
            <v>0</v>
          </cell>
          <cell r="Z1195">
            <v>0</v>
          </cell>
        </row>
        <row r="1196">
          <cell r="T1196">
            <v>0</v>
          </cell>
          <cell r="Z1196">
            <v>0</v>
          </cell>
        </row>
        <row r="1197">
          <cell r="T1197">
            <v>0</v>
          </cell>
          <cell r="Z1197">
            <v>0</v>
          </cell>
        </row>
        <row r="1198">
          <cell r="T1198">
            <v>0</v>
          </cell>
          <cell r="Z1198">
            <v>0</v>
          </cell>
        </row>
        <row r="1199">
          <cell r="T1199">
            <v>0</v>
          </cell>
          <cell r="Z1199">
            <v>0</v>
          </cell>
        </row>
        <row r="1200">
          <cell r="T1200">
            <v>0</v>
          </cell>
          <cell r="Z1200">
            <v>0</v>
          </cell>
        </row>
        <row r="1201">
          <cell r="T1201">
            <v>0</v>
          </cell>
          <cell r="Z1201">
            <v>0</v>
          </cell>
        </row>
        <row r="1202">
          <cell r="T1202">
            <v>0</v>
          </cell>
          <cell r="Z1202">
            <v>0</v>
          </cell>
        </row>
        <row r="1203">
          <cell r="T1203">
            <v>0</v>
          </cell>
          <cell r="Z1203">
            <v>0</v>
          </cell>
        </row>
        <row r="1204">
          <cell r="T1204">
            <v>0</v>
          </cell>
          <cell r="Z1204">
            <v>0</v>
          </cell>
        </row>
        <row r="1205">
          <cell r="T1205">
            <v>0</v>
          </cell>
          <cell r="Z1205">
            <v>0</v>
          </cell>
        </row>
        <row r="1206">
          <cell r="T1206">
            <v>0</v>
          </cell>
          <cell r="Z1206">
            <v>0</v>
          </cell>
        </row>
        <row r="1207">
          <cell r="T1207">
            <v>0</v>
          </cell>
          <cell r="Z1207">
            <v>0</v>
          </cell>
        </row>
        <row r="1208">
          <cell r="T1208">
            <v>0</v>
          </cell>
          <cell r="Z1208">
            <v>0</v>
          </cell>
        </row>
        <row r="1209">
          <cell r="T1209">
            <v>0</v>
          </cell>
          <cell r="Z1209">
            <v>0</v>
          </cell>
        </row>
        <row r="1210">
          <cell r="T1210">
            <v>0</v>
          </cell>
          <cell r="Z1210">
            <v>0</v>
          </cell>
        </row>
        <row r="1211">
          <cell r="T1211">
            <v>0</v>
          </cell>
          <cell r="Z1211">
            <v>0</v>
          </cell>
        </row>
        <row r="1212">
          <cell r="T1212">
            <v>0</v>
          </cell>
          <cell r="Z1212">
            <v>0</v>
          </cell>
        </row>
        <row r="1213">
          <cell r="T1213">
            <v>0</v>
          </cell>
          <cell r="Z1213">
            <v>0</v>
          </cell>
        </row>
        <row r="1214">
          <cell r="T1214">
            <v>0</v>
          </cell>
          <cell r="Z1214">
            <v>0</v>
          </cell>
        </row>
        <row r="1215">
          <cell r="T1215">
            <v>0</v>
          </cell>
          <cell r="Z1215">
            <v>0</v>
          </cell>
        </row>
        <row r="1216">
          <cell r="T1216">
            <v>0</v>
          </cell>
          <cell r="Z1216">
            <v>0</v>
          </cell>
        </row>
        <row r="1217">
          <cell r="T1217">
            <v>0</v>
          </cell>
          <cell r="Z1217">
            <v>0</v>
          </cell>
        </row>
        <row r="1218">
          <cell r="T1218">
            <v>0</v>
          </cell>
          <cell r="Z1218">
            <v>0</v>
          </cell>
        </row>
        <row r="1219">
          <cell r="T1219">
            <v>0</v>
          </cell>
          <cell r="Z1219">
            <v>0</v>
          </cell>
        </row>
        <row r="1220">
          <cell r="T1220">
            <v>0</v>
          </cell>
          <cell r="Z1220">
            <v>0</v>
          </cell>
        </row>
        <row r="1221">
          <cell r="T1221">
            <v>0</v>
          </cell>
          <cell r="Z1221">
            <v>0</v>
          </cell>
        </row>
        <row r="1222">
          <cell r="T1222">
            <v>0</v>
          </cell>
          <cell r="Z1222">
            <v>0</v>
          </cell>
        </row>
        <row r="1223">
          <cell r="T1223">
            <v>0</v>
          </cell>
          <cell r="Z1223">
            <v>0</v>
          </cell>
        </row>
        <row r="1224">
          <cell r="T1224">
            <v>0</v>
          </cell>
          <cell r="Z1224">
            <v>0</v>
          </cell>
        </row>
        <row r="1225">
          <cell r="T1225">
            <v>0</v>
          </cell>
          <cell r="Z1225">
            <v>0</v>
          </cell>
        </row>
        <row r="1226">
          <cell r="T1226">
            <v>0</v>
          </cell>
          <cell r="Z1226">
            <v>0</v>
          </cell>
        </row>
        <row r="1227">
          <cell r="T1227">
            <v>0</v>
          </cell>
          <cell r="Z1227">
            <v>0</v>
          </cell>
        </row>
        <row r="1228">
          <cell r="T1228">
            <v>0</v>
          </cell>
          <cell r="Z1228">
            <v>0</v>
          </cell>
        </row>
        <row r="1229">
          <cell r="T1229">
            <v>0</v>
          </cell>
          <cell r="Z1229">
            <v>0</v>
          </cell>
        </row>
        <row r="1230">
          <cell r="T1230">
            <v>0</v>
          </cell>
          <cell r="Z1230">
            <v>0</v>
          </cell>
        </row>
        <row r="1231">
          <cell r="T1231">
            <v>0</v>
          </cell>
          <cell r="Z1231">
            <v>0</v>
          </cell>
        </row>
        <row r="1232">
          <cell r="T1232">
            <v>0</v>
          </cell>
          <cell r="Z1232">
            <v>0</v>
          </cell>
        </row>
        <row r="1233">
          <cell r="T1233">
            <v>0</v>
          </cell>
          <cell r="Z1233">
            <v>0</v>
          </cell>
        </row>
        <row r="1234">
          <cell r="T1234">
            <v>0</v>
          </cell>
          <cell r="Z1234">
            <v>0</v>
          </cell>
        </row>
        <row r="1235">
          <cell r="T1235">
            <v>0</v>
          </cell>
          <cell r="Z1235">
            <v>0</v>
          </cell>
        </row>
        <row r="1236">
          <cell r="T1236">
            <v>0</v>
          </cell>
          <cell r="Z1236">
            <v>0</v>
          </cell>
        </row>
        <row r="1237">
          <cell r="T1237">
            <v>0</v>
          </cell>
          <cell r="Z1237">
            <v>0</v>
          </cell>
        </row>
        <row r="1238">
          <cell r="T1238">
            <v>0</v>
          </cell>
          <cell r="Z1238">
            <v>0</v>
          </cell>
        </row>
        <row r="1239">
          <cell r="T1239">
            <v>0</v>
          </cell>
          <cell r="Z1239">
            <v>0</v>
          </cell>
        </row>
        <row r="1240">
          <cell r="T1240">
            <v>0</v>
          </cell>
          <cell r="Z1240">
            <v>0</v>
          </cell>
        </row>
        <row r="1241">
          <cell r="T1241">
            <v>0</v>
          </cell>
          <cell r="Z1241">
            <v>0</v>
          </cell>
        </row>
        <row r="1242">
          <cell r="T1242">
            <v>0</v>
          </cell>
          <cell r="Z1242">
            <v>0</v>
          </cell>
        </row>
        <row r="1243">
          <cell r="T1243">
            <v>0</v>
          </cell>
          <cell r="Z1243">
            <v>0</v>
          </cell>
        </row>
        <row r="1244">
          <cell r="T1244">
            <v>0</v>
          </cell>
          <cell r="Z1244">
            <v>0</v>
          </cell>
        </row>
        <row r="1245">
          <cell r="T1245">
            <v>0</v>
          </cell>
          <cell r="Z1245">
            <v>0</v>
          </cell>
        </row>
        <row r="1246">
          <cell r="T1246">
            <v>0</v>
          </cell>
          <cell r="Z1246">
            <v>0</v>
          </cell>
        </row>
        <row r="1247">
          <cell r="T1247">
            <v>0</v>
          </cell>
          <cell r="Z1247">
            <v>0</v>
          </cell>
        </row>
        <row r="1248">
          <cell r="T1248">
            <v>0</v>
          </cell>
          <cell r="Z1248">
            <v>0</v>
          </cell>
        </row>
        <row r="1249">
          <cell r="T1249">
            <v>0</v>
          </cell>
          <cell r="Z1249">
            <v>0</v>
          </cell>
        </row>
        <row r="1250">
          <cell r="T1250">
            <v>0</v>
          </cell>
          <cell r="Z1250">
            <v>0</v>
          </cell>
        </row>
        <row r="1251">
          <cell r="T1251">
            <v>0</v>
          </cell>
          <cell r="Z1251">
            <v>0</v>
          </cell>
        </row>
        <row r="1252">
          <cell r="T1252">
            <v>0</v>
          </cell>
          <cell r="Z1252">
            <v>0</v>
          </cell>
        </row>
        <row r="1253">
          <cell r="T1253">
            <v>0</v>
          </cell>
          <cell r="Z1253">
            <v>0</v>
          </cell>
        </row>
        <row r="1254">
          <cell r="T1254">
            <v>0</v>
          </cell>
          <cell r="Z1254">
            <v>0</v>
          </cell>
        </row>
        <row r="1255">
          <cell r="T1255">
            <v>0</v>
          </cell>
          <cell r="Z1255">
            <v>0</v>
          </cell>
        </row>
        <row r="1256">
          <cell r="T1256">
            <v>0</v>
          </cell>
          <cell r="Z1256">
            <v>0</v>
          </cell>
        </row>
        <row r="1257">
          <cell r="T1257">
            <v>0</v>
          </cell>
          <cell r="Z1257">
            <v>0</v>
          </cell>
        </row>
        <row r="1258">
          <cell r="T1258">
            <v>0</v>
          </cell>
          <cell r="Z1258">
            <v>0</v>
          </cell>
        </row>
        <row r="1259">
          <cell r="T1259">
            <v>0</v>
          </cell>
          <cell r="Z1259">
            <v>0</v>
          </cell>
        </row>
        <row r="1260">
          <cell r="T1260">
            <v>0</v>
          </cell>
          <cell r="Z1260">
            <v>0</v>
          </cell>
        </row>
        <row r="1261">
          <cell r="T1261">
            <v>0</v>
          </cell>
          <cell r="Z1261">
            <v>0</v>
          </cell>
        </row>
        <row r="1262">
          <cell r="T1262">
            <v>0</v>
          </cell>
          <cell r="Z1262">
            <v>0</v>
          </cell>
        </row>
        <row r="1263">
          <cell r="T1263">
            <v>0</v>
          </cell>
          <cell r="Z1263">
            <v>0</v>
          </cell>
        </row>
        <row r="1264">
          <cell r="T1264">
            <v>0</v>
          </cell>
          <cell r="Z1264">
            <v>0</v>
          </cell>
        </row>
        <row r="1265">
          <cell r="T1265">
            <v>0</v>
          </cell>
          <cell r="Z1265">
            <v>0</v>
          </cell>
        </row>
        <row r="1266">
          <cell r="T1266">
            <v>0</v>
          </cell>
          <cell r="Z1266">
            <v>0</v>
          </cell>
        </row>
        <row r="1267">
          <cell r="T1267">
            <v>0</v>
          </cell>
          <cell r="Z1267">
            <v>0</v>
          </cell>
        </row>
        <row r="1268">
          <cell r="T1268">
            <v>0</v>
          </cell>
          <cell r="Z1268">
            <v>0</v>
          </cell>
        </row>
        <row r="1269">
          <cell r="T1269">
            <v>0</v>
          </cell>
          <cell r="Z1269">
            <v>0</v>
          </cell>
        </row>
        <row r="1270">
          <cell r="T1270">
            <v>0</v>
          </cell>
          <cell r="Z1270">
            <v>0</v>
          </cell>
        </row>
        <row r="1271">
          <cell r="T1271">
            <v>0</v>
          </cell>
          <cell r="Z1271">
            <v>0</v>
          </cell>
        </row>
        <row r="1272">
          <cell r="T1272">
            <v>0</v>
          </cell>
          <cell r="Z1272">
            <v>0</v>
          </cell>
        </row>
        <row r="1273">
          <cell r="T1273">
            <v>0</v>
          </cell>
          <cell r="Z1273">
            <v>0</v>
          </cell>
        </row>
        <row r="1274">
          <cell r="T1274">
            <v>0</v>
          </cell>
          <cell r="Z1274">
            <v>0</v>
          </cell>
        </row>
        <row r="1275">
          <cell r="T1275">
            <v>0</v>
          </cell>
          <cell r="Z1275">
            <v>0</v>
          </cell>
        </row>
        <row r="1276">
          <cell r="T1276">
            <v>0</v>
          </cell>
          <cell r="Z1276">
            <v>0</v>
          </cell>
        </row>
        <row r="1277">
          <cell r="T1277">
            <v>0</v>
          </cell>
          <cell r="Z1277">
            <v>0</v>
          </cell>
        </row>
        <row r="1278">
          <cell r="T1278">
            <v>0</v>
          </cell>
          <cell r="Z1278">
            <v>0</v>
          </cell>
        </row>
        <row r="1279">
          <cell r="T1279">
            <v>0</v>
          </cell>
          <cell r="Z1279">
            <v>0</v>
          </cell>
        </row>
        <row r="1280">
          <cell r="T1280">
            <v>0</v>
          </cell>
          <cell r="Z1280">
            <v>0</v>
          </cell>
        </row>
        <row r="1281">
          <cell r="T1281">
            <v>0</v>
          </cell>
          <cell r="Z1281">
            <v>0</v>
          </cell>
        </row>
        <row r="1282">
          <cell r="T1282">
            <v>0</v>
          </cell>
          <cell r="Z1282">
            <v>0</v>
          </cell>
        </row>
        <row r="1283">
          <cell r="T1283">
            <v>0</v>
          </cell>
          <cell r="Z1283">
            <v>0</v>
          </cell>
        </row>
        <row r="1284">
          <cell r="T1284">
            <v>0</v>
          </cell>
          <cell r="Z1284">
            <v>0</v>
          </cell>
        </row>
        <row r="1285">
          <cell r="T1285">
            <v>0</v>
          </cell>
          <cell r="Z1285">
            <v>0</v>
          </cell>
        </row>
        <row r="1286">
          <cell r="T1286">
            <v>0</v>
          </cell>
          <cell r="Z1286">
            <v>0</v>
          </cell>
        </row>
        <row r="1287">
          <cell r="T1287">
            <v>0</v>
          </cell>
          <cell r="Z1287">
            <v>0</v>
          </cell>
        </row>
        <row r="1288">
          <cell r="T1288">
            <v>0</v>
          </cell>
          <cell r="Z1288">
            <v>0</v>
          </cell>
        </row>
        <row r="1289">
          <cell r="T1289">
            <v>0</v>
          </cell>
          <cell r="Z1289">
            <v>0</v>
          </cell>
        </row>
        <row r="1290">
          <cell r="T1290">
            <v>0</v>
          </cell>
          <cell r="Z1290">
            <v>0</v>
          </cell>
        </row>
        <row r="1291">
          <cell r="T1291">
            <v>0</v>
          </cell>
          <cell r="Z1291">
            <v>0</v>
          </cell>
        </row>
        <row r="1292">
          <cell r="T1292">
            <v>0</v>
          </cell>
          <cell r="Z1292">
            <v>0</v>
          </cell>
        </row>
        <row r="1293">
          <cell r="T1293">
            <v>0</v>
          </cell>
          <cell r="Z1293">
            <v>0</v>
          </cell>
        </row>
        <row r="1294">
          <cell r="T1294">
            <v>0</v>
          </cell>
          <cell r="Z1294">
            <v>0</v>
          </cell>
        </row>
        <row r="1295">
          <cell r="T1295">
            <v>0</v>
          </cell>
          <cell r="Z1295">
            <v>0</v>
          </cell>
        </row>
        <row r="1296">
          <cell r="T1296">
            <v>0</v>
          </cell>
          <cell r="Z1296">
            <v>0</v>
          </cell>
        </row>
        <row r="1297">
          <cell r="T1297">
            <v>0</v>
          </cell>
          <cell r="Z1297">
            <v>0</v>
          </cell>
        </row>
        <row r="1298">
          <cell r="T1298">
            <v>0</v>
          </cell>
          <cell r="Z1298">
            <v>0</v>
          </cell>
        </row>
        <row r="1299">
          <cell r="T1299">
            <v>0</v>
          </cell>
          <cell r="Z1299">
            <v>0</v>
          </cell>
        </row>
        <row r="1300">
          <cell r="T1300">
            <v>0</v>
          </cell>
          <cell r="Z1300">
            <v>0</v>
          </cell>
        </row>
        <row r="1301">
          <cell r="T1301">
            <v>0</v>
          </cell>
          <cell r="Z1301">
            <v>0</v>
          </cell>
        </row>
        <row r="1302">
          <cell r="T1302">
            <v>0</v>
          </cell>
          <cell r="Z1302">
            <v>0</v>
          </cell>
        </row>
        <row r="1303">
          <cell r="T1303">
            <v>0</v>
          </cell>
          <cell r="Z1303">
            <v>0</v>
          </cell>
        </row>
        <row r="1304">
          <cell r="T1304">
            <v>0</v>
          </cell>
          <cell r="Z1304">
            <v>0</v>
          </cell>
        </row>
        <row r="1305">
          <cell r="T1305">
            <v>0</v>
          </cell>
          <cell r="Z1305">
            <v>0</v>
          </cell>
        </row>
        <row r="1306">
          <cell r="T1306">
            <v>0</v>
          </cell>
          <cell r="Z1306">
            <v>0</v>
          </cell>
        </row>
        <row r="1307">
          <cell r="T1307">
            <v>0</v>
          </cell>
          <cell r="Z1307">
            <v>0</v>
          </cell>
        </row>
        <row r="1308">
          <cell r="T1308">
            <v>0</v>
          </cell>
          <cell r="Z1308">
            <v>0</v>
          </cell>
        </row>
        <row r="1309">
          <cell r="T1309">
            <v>0</v>
          </cell>
          <cell r="Z1309">
            <v>0</v>
          </cell>
        </row>
        <row r="1310">
          <cell r="T1310">
            <v>0</v>
          </cell>
          <cell r="Z1310">
            <v>0</v>
          </cell>
        </row>
        <row r="1311">
          <cell r="T1311">
            <v>0</v>
          </cell>
          <cell r="Z1311">
            <v>0</v>
          </cell>
        </row>
        <row r="1312">
          <cell r="T1312">
            <v>0</v>
          </cell>
          <cell r="Z1312">
            <v>0</v>
          </cell>
        </row>
        <row r="1313">
          <cell r="T1313">
            <v>0</v>
          </cell>
          <cell r="Z1313">
            <v>0</v>
          </cell>
        </row>
        <row r="1314">
          <cell r="T1314">
            <v>0</v>
          </cell>
          <cell r="Z1314">
            <v>0</v>
          </cell>
        </row>
        <row r="1315">
          <cell r="T1315">
            <v>0</v>
          </cell>
          <cell r="Z1315">
            <v>0</v>
          </cell>
        </row>
        <row r="1316">
          <cell r="T1316">
            <v>0</v>
          </cell>
          <cell r="Z1316">
            <v>0</v>
          </cell>
        </row>
        <row r="1317">
          <cell r="T1317">
            <v>0</v>
          </cell>
          <cell r="Z1317">
            <v>0</v>
          </cell>
        </row>
        <row r="1318">
          <cell r="T1318">
            <v>0</v>
          </cell>
          <cell r="Z1318">
            <v>0</v>
          </cell>
        </row>
        <row r="1319">
          <cell r="T1319">
            <v>0</v>
          </cell>
          <cell r="Z1319">
            <v>0</v>
          </cell>
        </row>
        <row r="1320">
          <cell r="T1320">
            <v>0</v>
          </cell>
          <cell r="Z1320">
            <v>0</v>
          </cell>
        </row>
        <row r="1321">
          <cell r="T1321">
            <v>0</v>
          </cell>
          <cell r="Z1321">
            <v>0</v>
          </cell>
        </row>
        <row r="1322">
          <cell r="T1322">
            <v>0</v>
          </cell>
          <cell r="Z1322">
            <v>0</v>
          </cell>
        </row>
        <row r="1323">
          <cell r="T1323">
            <v>0</v>
          </cell>
          <cell r="Z1323">
            <v>0</v>
          </cell>
        </row>
        <row r="1324">
          <cell r="T1324">
            <v>0</v>
          </cell>
          <cell r="Z1324">
            <v>0</v>
          </cell>
        </row>
        <row r="1325">
          <cell r="T1325">
            <v>0</v>
          </cell>
          <cell r="Z1325">
            <v>0</v>
          </cell>
        </row>
        <row r="1326">
          <cell r="T1326">
            <v>0</v>
          </cell>
          <cell r="Z1326">
            <v>0</v>
          </cell>
        </row>
        <row r="1327">
          <cell r="T1327">
            <v>0</v>
          </cell>
          <cell r="Z1327">
            <v>0</v>
          </cell>
        </row>
        <row r="1328">
          <cell r="T1328">
            <v>0</v>
          </cell>
          <cell r="Z1328">
            <v>0</v>
          </cell>
        </row>
        <row r="1329">
          <cell r="T1329">
            <v>0</v>
          </cell>
          <cell r="Z1329">
            <v>0</v>
          </cell>
        </row>
        <row r="1330">
          <cell r="T1330">
            <v>0</v>
          </cell>
          <cell r="Z1330">
            <v>0</v>
          </cell>
        </row>
        <row r="1331">
          <cell r="T1331">
            <v>0</v>
          </cell>
          <cell r="Z1331">
            <v>0</v>
          </cell>
        </row>
        <row r="1332">
          <cell r="T1332">
            <v>0</v>
          </cell>
          <cell r="Z1332">
            <v>0</v>
          </cell>
        </row>
        <row r="1333">
          <cell r="T1333">
            <v>0</v>
          </cell>
          <cell r="Z1333">
            <v>0</v>
          </cell>
        </row>
        <row r="1334">
          <cell r="T1334">
            <v>0</v>
          </cell>
          <cell r="Z1334">
            <v>0</v>
          </cell>
        </row>
        <row r="1335">
          <cell r="T1335">
            <v>0</v>
          </cell>
          <cell r="Z1335">
            <v>0</v>
          </cell>
        </row>
        <row r="1336">
          <cell r="T1336">
            <v>0</v>
          </cell>
          <cell r="Z1336">
            <v>0</v>
          </cell>
        </row>
        <row r="1337">
          <cell r="T1337">
            <v>0</v>
          </cell>
          <cell r="Z1337">
            <v>0</v>
          </cell>
        </row>
        <row r="1338">
          <cell r="T1338">
            <v>0</v>
          </cell>
          <cell r="Z1338">
            <v>0</v>
          </cell>
        </row>
        <row r="1339">
          <cell r="T1339">
            <v>0</v>
          </cell>
          <cell r="Z1339">
            <v>0</v>
          </cell>
        </row>
        <row r="1340">
          <cell r="T1340">
            <v>0</v>
          </cell>
          <cell r="Z1340">
            <v>0</v>
          </cell>
        </row>
        <row r="1341">
          <cell r="T1341">
            <v>0</v>
          </cell>
          <cell r="Z1341">
            <v>0</v>
          </cell>
        </row>
        <row r="1342">
          <cell r="T1342">
            <v>0</v>
          </cell>
          <cell r="Z1342">
            <v>0</v>
          </cell>
        </row>
        <row r="1343">
          <cell r="T1343">
            <v>0</v>
          </cell>
          <cell r="Z1343">
            <v>0</v>
          </cell>
        </row>
        <row r="1344">
          <cell r="T1344">
            <v>0</v>
          </cell>
          <cell r="Z1344">
            <v>0</v>
          </cell>
        </row>
        <row r="1345">
          <cell r="T1345">
            <v>0</v>
          </cell>
          <cell r="Z1345">
            <v>0</v>
          </cell>
        </row>
        <row r="1346">
          <cell r="T1346">
            <v>0</v>
          </cell>
          <cell r="Z1346">
            <v>0</v>
          </cell>
        </row>
        <row r="1347">
          <cell r="T1347">
            <v>0</v>
          </cell>
          <cell r="Z1347">
            <v>0</v>
          </cell>
        </row>
        <row r="1348">
          <cell r="T1348">
            <v>0</v>
          </cell>
          <cell r="Z1348">
            <v>0</v>
          </cell>
        </row>
        <row r="1349">
          <cell r="T1349">
            <v>0</v>
          </cell>
          <cell r="Z1349">
            <v>0</v>
          </cell>
        </row>
        <row r="1350">
          <cell r="T1350">
            <v>0</v>
          </cell>
          <cell r="Z1350">
            <v>0</v>
          </cell>
        </row>
        <row r="1351">
          <cell r="T1351">
            <v>0</v>
          </cell>
          <cell r="Z1351">
            <v>0</v>
          </cell>
        </row>
        <row r="1352">
          <cell r="T1352">
            <v>0</v>
          </cell>
          <cell r="Z1352">
            <v>0</v>
          </cell>
        </row>
        <row r="1353">
          <cell r="T1353">
            <v>0</v>
          </cell>
          <cell r="Z1353">
            <v>0</v>
          </cell>
        </row>
        <row r="1354">
          <cell r="T1354">
            <v>0</v>
          </cell>
          <cell r="Z1354">
            <v>0</v>
          </cell>
        </row>
        <row r="1355">
          <cell r="T1355">
            <v>0</v>
          </cell>
          <cell r="Z1355">
            <v>0</v>
          </cell>
        </row>
        <row r="1356">
          <cell r="T1356">
            <v>0</v>
          </cell>
          <cell r="Z1356">
            <v>0</v>
          </cell>
        </row>
        <row r="1357">
          <cell r="T1357">
            <v>0</v>
          </cell>
          <cell r="Z1357">
            <v>0</v>
          </cell>
        </row>
        <row r="1358">
          <cell r="T1358">
            <v>0</v>
          </cell>
          <cell r="Z1358">
            <v>0</v>
          </cell>
        </row>
        <row r="1359">
          <cell r="T1359">
            <v>0</v>
          </cell>
          <cell r="Z1359">
            <v>0</v>
          </cell>
        </row>
        <row r="1360">
          <cell r="T1360">
            <v>0</v>
          </cell>
          <cell r="Z1360">
            <v>0</v>
          </cell>
        </row>
        <row r="1361">
          <cell r="T1361">
            <v>0</v>
          </cell>
          <cell r="Z1361">
            <v>0</v>
          </cell>
        </row>
        <row r="1362">
          <cell r="T1362">
            <v>0</v>
          </cell>
          <cell r="Z1362">
            <v>0</v>
          </cell>
        </row>
        <row r="1363">
          <cell r="T1363">
            <v>0</v>
          </cell>
          <cell r="Z1363">
            <v>0</v>
          </cell>
        </row>
        <row r="1364">
          <cell r="T1364">
            <v>0</v>
          </cell>
          <cell r="Z1364">
            <v>0</v>
          </cell>
        </row>
        <row r="1365">
          <cell r="T1365">
            <v>0</v>
          </cell>
          <cell r="Z1365">
            <v>0</v>
          </cell>
        </row>
        <row r="1366">
          <cell r="T1366">
            <v>0</v>
          </cell>
          <cell r="Z1366">
            <v>0</v>
          </cell>
        </row>
        <row r="1367">
          <cell r="T1367">
            <v>0</v>
          </cell>
          <cell r="Z1367">
            <v>0</v>
          </cell>
        </row>
        <row r="1368">
          <cell r="T1368">
            <v>0</v>
          </cell>
          <cell r="Z1368">
            <v>0</v>
          </cell>
        </row>
        <row r="1369">
          <cell r="T1369">
            <v>0</v>
          </cell>
          <cell r="Z1369">
            <v>0</v>
          </cell>
        </row>
        <row r="1370">
          <cell r="T1370">
            <v>0</v>
          </cell>
          <cell r="Z1370">
            <v>0</v>
          </cell>
        </row>
        <row r="1371">
          <cell r="T1371">
            <v>0</v>
          </cell>
          <cell r="Z1371">
            <v>0</v>
          </cell>
        </row>
        <row r="1372">
          <cell r="T1372">
            <v>0</v>
          </cell>
          <cell r="Z1372">
            <v>0</v>
          </cell>
        </row>
        <row r="1373">
          <cell r="T1373">
            <v>0</v>
          </cell>
          <cell r="Z1373">
            <v>0</v>
          </cell>
        </row>
        <row r="1374">
          <cell r="T1374">
            <v>0</v>
          </cell>
          <cell r="Z1374">
            <v>0</v>
          </cell>
        </row>
        <row r="1375">
          <cell r="T1375">
            <v>0</v>
          </cell>
          <cell r="Z1375">
            <v>0</v>
          </cell>
        </row>
        <row r="1376">
          <cell r="T1376">
            <v>0</v>
          </cell>
          <cell r="Z1376">
            <v>0</v>
          </cell>
        </row>
        <row r="1377">
          <cell r="T1377">
            <v>0</v>
          </cell>
          <cell r="Z1377">
            <v>0</v>
          </cell>
        </row>
        <row r="1378">
          <cell r="T1378">
            <v>0</v>
          </cell>
          <cell r="Z1378">
            <v>0</v>
          </cell>
        </row>
        <row r="1379">
          <cell r="T1379">
            <v>0</v>
          </cell>
          <cell r="Z1379">
            <v>0</v>
          </cell>
        </row>
        <row r="1380">
          <cell r="T1380">
            <v>0</v>
          </cell>
          <cell r="Z1380">
            <v>0</v>
          </cell>
        </row>
        <row r="1381">
          <cell r="T1381">
            <v>0</v>
          </cell>
          <cell r="Z1381">
            <v>0</v>
          </cell>
        </row>
        <row r="1382">
          <cell r="T1382">
            <v>0</v>
          </cell>
          <cell r="Z1382">
            <v>0</v>
          </cell>
        </row>
        <row r="1383">
          <cell r="T1383">
            <v>0</v>
          </cell>
          <cell r="Z1383">
            <v>0</v>
          </cell>
        </row>
        <row r="1384">
          <cell r="T1384">
            <v>0</v>
          </cell>
          <cell r="Z1384">
            <v>0</v>
          </cell>
        </row>
        <row r="1385">
          <cell r="T1385">
            <v>0</v>
          </cell>
          <cell r="Z1385">
            <v>0</v>
          </cell>
        </row>
        <row r="1386">
          <cell r="T1386">
            <v>0</v>
          </cell>
          <cell r="Z1386">
            <v>0</v>
          </cell>
        </row>
        <row r="1387">
          <cell r="T1387">
            <v>0</v>
          </cell>
          <cell r="Z1387">
            <v>0</v>
          </cell>
        </row>
        <row r="1388">
          <cell r="T1388">
            <v>0</v>
          </cell>
          <cell r="Z1388">
            <v>0</v>
          </cell>
        </row>
        <row r="1389">
          <cell r="T1389">
            <v>0</v>
          </cell>
          <cell r="Z1389">
            <v>0</v>
          </cell>
        </row>
        <row r="1390">
          <cell r="T1390">
            <v>0</v>
          </cell>
          <cell r="Z1390">
            <v>0</v>
          </cell>
        </row>
        <row r="1391">
          <cell r="T1391">
            <v>0</v>
          </cell>
          <cell r="Z1391">
            <v>0</v>
          </cell>
        </row>
        <row r="1392">
          <cell r="T1392">
            <v>0</v>
          </cell>
          <cell r="Z1392">
            <v>0</v>
          </cell>
        </row>
        <row r="1393">
          <cell r="T1393">
            <v>0</v>
          </cell>
          <cell r="Z1393">
            <v>0</v>
          </cell>
        </row>
        <row r="1394">
          <cell r="T1394">
            <v>0</v>
          </cell>
          <cell r="Z1394">
            <v>0</v>
          </cell>
        </row>
        <row r="1395">
          <cell r="T1395">
            <v>0</v>
          </cell>
          <cell r="Z1395">
            <v>0</v>
          </cell>
        </row>
        <row r="1396">
          <cell r="T1396">
            <v>0</v>
          </cell>
          <cell r="Z1396">
            <v>0</v>
          </cell>
        </row>
        <row r="1397">
          <cell r="T1397">
            <v>0</v>
          </cell>
          <cell r="Z1397">
            <v>0</v>
          </cell>
        </row>
        <row r="1398">
          <cell r="T1398">
            <v>0</v>
          </cell>
          <cell r="Z1398">
            <v>0</v>
          </cell>
        </row>
        <row r="1399">
          <cell r="T1399">
            <v>0</v>
          </cell>
          <cell r="Z1399">
            <v>0</v>
          </cell>
        </row>
        <row r="1400">
          <cell r="T1400">
            <v>0</v>
          </cell>
          <cell r="Z1400">
            <v>0</v>
          </cell>
        </row>
        <row r="1401">
          <cell r="T1401">
            <v>0</v>
          </cell>
          <cell r="Z1401">
            <v>0</v>
          </cell>
        </row>
        <row r="1402">
          <cell r="T1402">
            <v>0</v>
          </cell>
          <cell r="Z1402">
            <v>0</v>
          </cell>
        </row>
        <row r="1403">
          <cell r="T1403">
            <v>0</v>
          </cell>
          <cell r="Z1403">
            <v>0</v>
          </cell>
        </row>
        <row r="1404">
          <cell r="T1404">
            <v>0</v>
          </cell>
          <cell r="Z1404">
            <v>0</v>
          </cell>
        </row>
        <row r="1405">
          <cell r="T1405">
            <v>0</v>
          </cell>
          <cell r="Z1405">
            <v>0</v>
          </cell>
        </row>
        <row r="1406">
          <cell r="T1406">
            <v>0</v>
          </cell>
          <cell r="Z1406">
            <v>0</v>
          </cell>
        </row>
        <row r="1407">
          <cell r="T1407">
            <v>0</v>
          </cell>
          <cell r="Z1407">
            <v>0</v>
          </cell>
        </row>
        <row r="1408">
          <cell r="T1408">
            <v>0</v>
          </cell>
          <cell r="Z1408">
            <v>0</v>
          </cell>
        </row>
        <row r="1409">
          <cell r="T1409">
            <v>0</v>
          </cell>
          <cell r="Z1409">
            <v>0</v>
          </cell>
        </row>
        <row r="1410">
          <cell r="T1410">
            <v>0</v>
          </cell>
          <cell r="Z1410">
            <v>0</v>
          </cell>
        </row>
        <row r="1411">
          <cell r="T1411">
            <v>0</v>
          </cell>
          <cell r="Z1411">
            <v>0</v>
          </cell>
        </row>
        <row r="1412">
          <cell r="T1412">
            <v>0</v>
          </cell>
          <cell r="Z1412">
            <v>0</v>
          </cell>
        </row>
        <row r="1413">
          <cell r="T1413">
            <v>0</v>
          </cell>
          <cell r="Z1413">
            <v>0</v>
          </cell>
        </row>
        <row r="1414">
          <cell r="T1414">
            <v>0</v>
          </cell>
          <cell r="Z1414">
            <v>0</v>
          </cell>
        </row>
        <row r="1415">
          <cell r="T1415">
            <v>0</v>
          </cell>
          <cell r="Z1415">
            <v>0</v>
          </cell>
        </row>
        <row r="1416">
          <cell r="T1416">
            <v>0</v>
          </cell>
          <cell r="Z1416">
            <v>0</v>
          </cell>
        </row>
        <row r="1417">
          <cell r="T1417">
            <v>0</v>
          </cell>
          <cell r="Z1417">
            <v>0</v>
          </cell>
        </row>
        <row r="1418">
          <cell r="T1418">
            <v>0</v>
          </cell>
          <cell r="Z1418">
            <v>0</v>
          </cell>
        </row>
        <row r="1419">
          <cell r="T1419">
            <v>0</v>
          </cell>
          <cell r="Z1419">
            <v>0</v>
          </cell>
        </row>
        <row r="1420">
          <cell r="T1420">
            <v>0</v>
          </cell>
          <cell r="Z1420">
            <v>0</v>
          </cell>
        </row>
        <row r="1421">
          <cell r="T1421">
            <v>0</v>
          </cell>
          <cell r="Z1421">
            <v>0</v>
          </cell>
        </row>
        <row r="1422">
          <cell r="T1422">
            <v>0</v>
          </cell>
          <cell r="Z1422">
            <v>0</v>
          </cell>
        </row>
        <row r="1423">
          <cell r="T1423">
            <v>0</v>
          </cell>
          <cell r="Z1423">
            <v>0</v>
          </cell>
        </row>
        <row r="1424">
          <cell r="T1424">
            <v>0</v>
          </cell>
          <cell r="Z1424">
            <v>0</v>
          </cell>
        </row>
        <row r="1425">
          <cell r="T1425">
            <v>0</v>
          </cell>
          <cell r="Z1425">
            <v>0</v>
          </cell>
        </row>
        <row r="1426">
          <cell r="T1426">
            <v>0</v>
          </cell>
          <cell r="Z1426">
            <v>0</v>
          </cell>
        </row>
        <row r="1427">
          <cell r="T1427">
            <v>0</v>
          </cell>
          <cell r="Z1427">
            <v>0</v>
          </cell>
        </row>
        <row r="1428">
          <cell r="T1428">
            <v>0</v>
          </cell>
          <cell r="Z1428">
            <v>0</v>
          </cell>
        </row>
        <row r="1429">
          <cell r="T1429">
            <v>0</v>
          </cell>
          <cell r="Z1429">
            <v>0</v>
          </cell>
        </row>
        <row r="1430">
          <cell r="T1430">
            <v>0</v>
          </cell>
          <cell r="Z1430">
            <v>0</v>
          </cell>
        </row>
        <row r="1431">
          <cell r="T1431">
            <v>0</v>
          </cell>
          <cell r="Z1431">
            <v>0</v>
          </cell>
        </row>
        <row r="1432">
          <cell r="T1432">
            <v>0</v>
          </cell>
          <cell r="Z1432">
            <v>0</v>
          </cell>
        </row>
        <row r="1433">
          <cell r="T1433">
            <v>0</v>
          </cell>
          <cell r="Z1433">
            <v>0</v>
          </cell>
        </row>
        <row r="1434">
          <cell r="T1434">
            <v>0</v>
          </cell>
          <cell r="Z1434">
            <v>0</v>
          </cell>
        </row>
        <row r="1435">
          <cell r="T1435">
            <v>0</v>
          </cell>
          <cell r="Z1435">
            <v>0</v>
          </cell>
        </row>
        <row r="1436">
          <cell r="T1436">
            <v>0</v>
          </cell>
          <cell r="Z1436">
            <v>0</v>
          </cell>
        </row>
        <row r="1437">
          <cell r="T1437">
            <v>0</v>
          </cell>
          <cell r="Z1437">
            <v>0</v>
          </cell>
        </row>
        <row r="1438">
          <cell r="T1438">
            <v>0</v>
          </cell>
          <cell r="Z1438">
            <v>0</v>
          </cell>
        </row>
        <row r="1439">
          <cell r="T1439">
            <v>0</v>
          </cell>
          <cell r="Z1439">
            <v>0</v>
          </cell>
        </row>
        <row r="1440">
          <cell r="T1440">
            <v>0</v>
          </cell>
          <cell r="Z1440">
            <v>0</v>
          </cell>
        </row>
        <row r="1441">
          <cell r="T1441">
            <v>0</v>
          </cell>
          <cell r="Z1441">
            <v>0</v>
          </cell>
        </row>
        <row r="1442">
          <cell r="T1442">
            <v>0</v>
          </cell>
          <cell r="Z1442">
            <v>0</v>
          </cell>
        </row>
        <row r="1443">
          <cell r="T1443">
            <v>0</v>
          </cell>
          <cell r="Z1443">
            <v>0</v>
          </cell>
        </row>
        <row r="1444">
          <cell r="T1444">
            <v>0</v>
          </cell>
          <cell r="Z1444">
            <v>0</v>
          </cell>
        </row>
        <row r="1445">
          <cell r="T1445">
            <v>0</v>
          </cell>
          <cell r="Z1445">
            <v>0</v>
          </cell>
        </row>
        <row r="1446">
          <cell r="T1446">
            <v>0</v>
          </cell>
          <cell r="Z1446">
            <v>0</v>
          </cell>
        </row>
        <row r="1447">
          <cell r="T1447">
            <v>0</v>
          </cell>
          <cell r="Z1447">
            <v>0</v>
          </cell>
        </row>
        <row r="1448">
          <cell r="T1448">
            <v>0</v>
          </cell>
          <cell r="Z1448">
            <v>0</v>
          </cell>
        </row>
        <row r="1449">
          <cell r="T1449">
            <v>0</v>
          </cell>
          <cell r="Z1449">
            <v>0</v>
          </cell>
        </row>
        <row r="1450">
          <cell r="T1450">
            <v>0</v>
          </cell>
          <cell r="Z1450">
            <v>0</v>
          </cell>
        </row>
        <row r="1451">
          <cell r="T1451">
            <v>0</v>
          </cell>
          <cell r="Z1451">
            <v>0</v>
          </cell>
        </row>
        <row r="1452">
          <cell r="T1452">
            <v>0</v>
          </cell>
          <cell r="Z1452">
            <v>0</v>
          </cell>
        </row>
        <row r="1453">
          <cell r="T1453">
            <v>0</v>
          </cell>
          <cell r="Z1453">
            <v>0</v>
          </cell>
        </row>
        <row r="1454">
          <cell r="T1454">
            <v>0</v>
          </cell>
          <cell r="Z1454">
            <v>0</v>
          </cell>
        </row>
        <row r="1455">
          <cell r="T1455">
            <v>0</v>
          </cell>
          <cell r="Z1455">
            <v>0</v>
          </cell>
        </row>
        <row r="1456">
          <cell r="T1456">
            <v>0</v>
          </cell>
          <cell r="Z1456">
            <v>0</v>
          </cell>
        </row>
        <row r="1457">
          <cell r="T1457">
            <v>0</v>
          </cell>
          <cell r="Z1457">
            <v>0</v>
          </cell>
        </row>
        <row r="1458">
          <cell r="T1458">
            <v>0</v>
          </cell>
          <cell r="Z1458">
            <v>0</v>
          </cell>
        </row>
        <row r="1459">
          <cell r="T1459">
            <v>0</v>
          </cell>
          <cell r="Z1459">
            <v>0</v>
          </cell>
        </row>
        <row r="1460">
          <cell r="T1460">
            <v>0</v>
          </cell>
          <cell r="Z1460">
            <v>0</v>
          </cell>
        </row>
        <row r="1461">
          <cell r="T1461">
            <v>0</v>
          </cell>
          <cell r="Z1461">
            <v>0</v>
          </cell>
        </row>
        <row r="1462">
          <cell r="T1462">
            <v>0</v>
          </cell>
          <cell r="Z1462">
            <v>0</v>
          </cell>
        </row>
        <row r="1463">
          <cell r="T1463">
            <v>0</v>
          </cell>
          <cell r="Z1463">
            <v>0</v>
          </cell>
        </row>
        <row r="1464">
          <cell r="T1464">
            <v>0</v>
          </cell>
          <cell r="Z1464">
            <v>0</v>
          </cell>
        </row>
        <row r="1465">
          <cell r="T1465">
            <v>0</v>
          </cell>
          <cell r="Z1465">
            <v>0</v>
          </cell>
        </row>
        <row r="1466">
          <cell r="T1466">
            <v>0</v>
          </cell>
          <cell r="Z1466">
            <v>0</v>
          </cell>
        </row>
        <row r="1467">
          <cell r="T1467">
            <v>0</v>
          </cell>
          <cell r="Z1467">
            <v>0</v>
          </cell>
        </row>
        <row r="1468">
          <cell r="T1468">
            <v>0</v>
          </cell>
          <cell r="Z1468">
            <v>0</v>
          </cell>
        </row>
        <row r="1469">
          <cell r="T1469">
            <v>0</v>
          </cell>
          <cell r="Z1469">
            <v>0</v>
          </cell>
        </row>
        <row r="1470">
          <cell r="T1470">
            <v>0</v>
          </cell>
          <cell r="Z1470">
            <v>0</v>
          </cell>
        </row>
        <row r="1471">
          <cell r="T1471">
            <v>0</v>
          </cell>
          <cell r="Z1471">
            <v>0</v>
          </cell>
        </row>
        <row r="1472">
          <cell r="T1472">
            <v>0</v>
          </cell>
          <cell r="Z1472">
            <v>0</v>
          </cell>
        </row>
        <row r="1473">
          <cell r="T1473">
            <v>0</v>
          </cell>
          <cell r="Z1473">
            <v>0</v>
          </cell>
        </row>
        <row r="1474">
          <cell r="T1474">
            <v>0</v>
          </cell>
          <cell r="Z1474">
            <v>0</v>
          </cell>
        </row>
        <row r="1475">
          <cell r="T1475">
            <v>0</v>
          </cell>
          <cell r="Z1475">
            <v>0</v>
          </cell>
        </row>
        <row r="1476">
          <cell r="T1476">
            <v>0</v>
          </cell>
          <cell r="Z1476">
            <v>0</v>
          </cell>
        </row>
        <row r="1477">
          <cell r="T1477">
            <v>0</v>
          </cell>
          <cell r="Z1477">
            <v>0</v>
          </cell>
        </row>
        <row r="1478">
          <cell r="T1478">
            <v>0</v>
          </cell>
          <cell r="Z1478">
            <v>0</v>
          </cell>
        </row>
        <row r="1479">
          <cell r="T1479">
            <v>0</v>
          </cell>
          <cell r="Z1479">
            <v>0</v>
          </cell>
        </row>
        <row r="1480">
          <cell r="T1480">
            <v>0</v>
          </cell>
          <cell r="Z1480">
            <v>0</v>
          </cell>
        </row>
        <row r="1481">
          <cell r="T1481">
            <v>0</v>
          </cell>
          <cell r="Z1481">
            <v>0</v>
          </cell>
        </row>
        <row r="1482">
          <cell r="T1482">
            <v>0</v>
          </cell>
          <cell r="Z1482">
            <v>0</v>
          </cell>
        </row>
        <row r="1483">
          <cell r="T1483">
            <v>0</v>
          </cell>
          <cell r="Z1483">
            <v>0</v>
          </cell>
        </row>
        <row r="1484">
          <cell r="T1484">
            <v>0</v>
          </cell>
          <cell r="Z1484">
            <v>0</v>
          </cell>
        </row>
        <row r="1485">
          <cell r="T1485">
            <v>0</v>
          </cell>
          <cell r="Z1485">
            <v>0</v>
          </cell>
        </row>
        <row r="1486">
          <cell r="T1486">
            <v>0</v>
          </cell>
          <cell r="Z1486">
            <v>0</v>
          </cell>
        </row>
        <row r="1487">
          <cell r="T1487">
            <v>0</v>
          </cell>
          <cell r="Z1487">
            <v>0</v>
          </cell>
        </row>
        <row r="1488">
          <cell r="T1488">
            <v>0</v>
          </cell>
          <cell r="Z1488">
            <v>0</v>
          </cell>
        </row>
        <row r="1489">
          <cell r="T1489">
            <v>0</v>
          </cell>
          <cell r="Z1489">
            <v>0</v>
          </cell>
        </row>
        <row r="1490">
          <cell r="T1490">
            <v>0</v>
          </cell>
          <cell r="Z1490">
            <v>0</v>
          </cell>
        </row>
        <row r="1491">
          <cell r="T1491">
            <v>0</v>
          </cell>
          <cell r="Z1491">
            <v>0</v>
          </cell>
        </row>
        <row r="1492">
          <cell r="T1492">
            <v>0</v>
          </cell>
          <cell r="Z1492">
            <v>0</v>
          </cell>
        </row>
        <row r="1493">
          <cell r="T1493">
            <v>0</v>
          </cell>
          <cell r="Z1493">
            <v>0</v>
          </cell>
        </row>
        <row r="1494">
          <cell r="T1494">
            <v>0</v>
          </cell>
          <cell r="Z1494">
            <v>0</v>
          </cell>
        </row>
        <row r="1495">
          <cell r="T1495">
            <v>0</v>
          </cell>
          <cell r="Z1495">
            <v>0</v>
          </cell>
        </row>
        <row r="1496">
          <cell r="T1496">
            <v>0</v>
          </cell>
          <cell r="Z1496">
            <v>0</v>
          </cell>
        </row>
        <row r="1497">
          <cell r="T1497">
            <v>0</v>
          </cell>
          <cell r="Z1497">
            <v>0</v>
          </cell>
        </row>
        <row r="1498">
          <cell r="T1498">
            <v>0</v>
          </cell>
          <cell r="Z1498">
            <v>0</v>
          </cell>
        </row>
        <row r="1499">
          <cell r="T1499">
            <v>0</v>
          </cell>
          <cell r="Z1499">
            <v>0</v>
          </cell>
        </row>
        <row r="1500">
          <cell r="T1500">
            <v>0</v>
          </cell>
          <cell r="Z1500">
            <v>0</v>
          </cell>
        </row>
        <row r="1501">
          <cell r="T1501">
            <v>0</v>
          </cell>
          <cell r="Z1501">
            <v>0</v>
          </cell>
        </row>
        <row r="1502">
          <cell r="T1502">
            <v>0</v>
          </cell>
          <cell r="Z1502">
            <v>0</v>
          </cell>
        </row>
        <row r="1503">
          <cell r="T1503">
            <v>0</v>
          </cell>
          <cell r="Z1503">
            <v>0</v>
          </cell>
        </row>
        <row r="1504">
          <cell r="T1504">
            <v>0</v>
          </cell>
          <cell r="Z1504">
            <v>0</v>
          </cell>
        </row>
        <row r="1505">
          <cell r="T1505">
            <v>0</v>
          </cell>
          <cell r="Z1505">
            <v>0</v>
          </cell>
        </row>
        <row r="1506">
          <cell r="T1506">
            <v>0</v>
          </cell>
          <cell r="Z1506">
            <v>0</v>
          </cell>
        </row>
        <row r="1507">
          <cell r="T1507">
            <v>0</v>
          </cell>
          <cell r="Z1507">
            <v>0</v>
          </cell>
        </row>
        <row r="1508">
          <cell r="T1508">
            <v>0</v>
          </cell>
          <cell r="Z1508">
            <v>0</v>
          </cell>
        </row>
        <row r="1509">
          <cell r="T1509">
            <v>0</v>
          </cell>
          <cell r="Z1509">
            <v>0</v>
          </cell>
        </row>
        <row r="1510">
          <cell r="T1510">
            <v>0</v>
          </cell>
          <cell r="Z1510">
            <v>0</v>
          </cell>
        </row>
        <row r="1511">
          <cell r="T1511">
            <v>0</v>
          </cell>
          <cell r="Z1511">
            <v>0</v>
          </cell>
        </row>
        <row r="1512">
          <cell r="T1512">
            <v>0</v>
          </cell>
          <cell r="Z1512">
            <v>0</v>
          </cell>
        </row>
        <row r="1513">
          <cell r="T1513">
            <v>0</v>
          </cell>
          <cell r="Z1513">
            <v>0</v>
          </cell>
        </row>
        <row r="1514">
          <cell r="T1514">
            <v>0</v>
          </cell>
          <cell r="Z1514">
            <v>0</v>
          </cell>
        </row>
        <row r="1515">
          <cell r="T1515">
            <v>0</v>
          </cell>
          <cell r="Z1515">
            <v>0</v>
          </cell>
        </row>
        <row r="1516">
          <cell r="T1516">
            <v>0</v>
          </cell>
          <cell r="Z1516">
            <v>0</v>
          </cell>
        </row>
        <row r="1517">
          <cell r="T1517">
            <v>0</v>
          </cell>
          <cell r="Z1517">
            <v>0</v>
          </cell>
        </row>
        <row r="1518">
          <cell r="T1518">
            <v>0</v>
          </cell>
          <cell r="Z1518">
            <v>0</v>
          </cell>
        </row>
        <row r="1519">
          <cell r="T1519">
            <v>0</v>
          </cell>
          <cell r="Z1519">
            <v>0</v>
          </cell>
        </row>
        <row r="1520">
          <cell r="T1520">
            <v>0</v>
          </cell>
          <cell r="Z1520">
            <v>0</v>
          </cell>
        </row>
        <row r="1521">
          <cell r="T1521">
            <v>0</v>
          </cell>
          <cell r="Z1521">
            <v>0</v>
          </cell>
        </row>
        <row r="1522">
          <cell r="T1522">
            <v>0</v>
          </cell>
          <cell r="Z1522">
            <v>0</v>
          </cell>
        </row>
        <row r="1523">
          <cell r="T1523">
            <v>0</v>
          </cell>
          <cell r="Z1523">
            <v>0</v>
          </cell>
        </row>
        <row r="1524">
          <cell r="T1524">
            <v>0</v>
          </cell>
          <cell r="Z1524">
            <v>0</v>
          </cell>
        </row>
        <row r="1525">
          <cell r="T1525">
            <v>0</v>
          </cell>
          <cell r="Z1525">
            <v>0</v>
          </cell>
        </row>
        <row r="1526">
          <cell r="T1526">
            <v>0</v>
          </cell>
          <cell r="Z1526">
            <v>0</v>
          </cell>
        </row>
        <row r="1527">
          <cell r="T1527">
            <v>0</v>
          </cell>
          <cell r="Z1527">
            <v>0</v>
          </cell>
        </row>
        <row r="1528">
          <cell r="T1528">
            <v>0</v>
          </cell>
          <cell r="Z1528">
            <v>0</v>
          </cell>
        </row>
        <row r="1529">
          <cell r="T1529">
            <v>0</v>
          </cell>
          <cell r="Z1529">
            <v>0</v>
          </cell>
        </row>
        <row r="1530">
          <cell r="T1530">
            <v>0</v>
          </cell>
          <cell r="Z1530">
            <v>0</v>
          </cell>
        </row>
        <row r="1531">
          <cell r="T1531">
            <v>0</v>
          </cell>
          <cell r="Z1531">
            <v>0</v>
          </cell>
        </row>
        <row r="1532">
          <cell r="T1532">
            <v>0</v>
          </cell>
          <cell r="Z1532">
            <v>0</v>
          </cell>
        </row>
        <row r="1533">
          <cell r="T1533">
            <v>0</v>
          </cell>
          <cell r="Z1533">
            <v>0</v>
          </cell>
        </row>
        <row r="1534">
          <cell r="T1534">
            <v>0</v>
          </cell>
          <cell r="Z1534">
            <v>0</v>
          </cell>
        </row>
        <row r="1535">
          <cell r="T1535">
            <v>0</v>
          </cell>
          <cell r="Z1535">
            <v>0</v>
          </cell>
        </row>
        <row r="1536">
          <cell r="T1536">
            <v>0</v>
          </cell>
          <cell r="Z1536">
            <v>0</v>
          </cell>
        </row>
        <row r="1537">
          <cell r="T1537">
            <v>0</v>
          </cell>
          <cell r="Z1537">
            <v>0</v>
          </cell>
        </row>
        <row r="1538">
          <cell r="T1538">
            <v>0</v>
          </cell>
          <cell r="Z1538">
            <v>0</v>
          </cell>
        </row>
        <row r="1539">
          <cell r="T1539">
            <v>0</v>
          </cell>
          <cell r="Z1539">
            <v>0</v>
          </cell>
        </row>
        <row r="1540">
          <cell r="T1540">
            <v>0</v>
          </cell>
          <cell r="Z1540">
            <v>0</v>
          </cell>
        </row>
        <row r="1541">
          <cell r="T1541">
            <v>0</v>
          </cell>
          <cell r="Z1541">
            <v>0</v>
          </cell>
        </row>
        <row r="1542">
          <cell r="T1542">
            <v>0</v>
          </cell>
          <cell r="Z1542">
            <v>0</v>
          </cell>
        </row>
        <row r="1543">
          <cell r="T1543">
            <v>0</v>
          </cell>
          <cell r="Z1543">
            <v>0</v>
          </cell>
        </row>
        <row r="1544">
          <cell r="T1544">
            <v>0</v>
          </cell>
          <cell r="Z1544">
            <v>0</v>
          </cell>
        </row>
        <row r="1545">
          <cell r="T1545">
            <v>0</v>
          </cell>
          <cell r="Z1545">
            <v>0</v>
          </cell>
        </row>
        <row r="1546">
          <cell r="T1546">
            <v>0</v>
          </cell>
          <cell r="Z1546">
            <v>0</v>
          </cell>
        </row>
        <row r="1547">
          <cell r="T1547">
            <v>0</v>
          </cell>
          <cell r="Z1547">
            <v>0</v>
          </cell>
        </row>
        <row r="1548">
          <cell r="T1548">
            <v>0</v>
          </cell>
          <cell r="Z1548">
            <v>0</v>
          </cell>
        </row>
        <row r="1549">
          <cell r="T1549">
            <v>0</v>
          </cell>
          <cell r="Z1549">
            <v>0</v>
          </cell>
        </row>
        <row r="1550">
          <cell r="T1550">
            <v>0</v>
          </cell>
          <cell r="Z1550">
            <v>0</v>
          </cell>
        </row>
        <row r="1551">
          <cell r="T1551">
            <v>0</v>
          </cell>
          <cell r="Z1551">
            <v>0</v>
          </cell>
        </row>
        <row r="1552">
          <cell r="T1552">
            <v>0</v>
          </cell>
          <cell r="Z1552">
            <v>0</v>
          </cell>
        </row>
        <row r="1553">
          <cell r="T1553">
            <v>0</v>
          </cell>
          <cell r="Z1553">
            <v>0</v>
          </cell>
        </row>
        <row r="1554">
          <cell r="T1554">
            <v>0</v>
          </cell>
          <cell r="Z1554">
            <v>0</v>
          </cell>
        </row>
        <row r="1555">
          <cell r="T1555">
            <v>0</v>
          </cell>
          <cell r="Z1555">
            <v>0</v>
          </cell>
        </row>
        <row r="1556">
          <cell r="T1556">
            <v>0</v>
          </cell>
          <cell r="Z1556">
            <v>0</v>
          </cell>
        </row>
        <row r="1557">
          <cell r="T1557">
            <v>0</v>
          </cell>
          <cell r="Z1557">
            <v>0</v>
          </cell>
        </row>
        <row r="1558">
          <cell r="T1558">
            <v>0</v>
          </cell>
          <cell r="Z1558">
            <v>0</v>
          </cell>
        </row>
        <row r="1559">
          <cell r="T1559">
            <v>0</v>
          </cell>
          <cell r="Z1559">
            <v>0</v>
          </cell>
        </row>
        <row r="1560">
          <cell r="T1560">
            <v>0</v>
          </cell>
          <cell r="Z1560">
            <v>0</v>
          </cell>
        </row>
        <row r="1561">
          <cell r="T1561">
            <v>0</v>
          </cell>
          <cell r="Z1561">
            <v>0</v>
          </cell>
        </row>
        <row r="1562">
          <cell r="T1562">
            <v>0</v>
          </cell>
          <cell r="Z1562">
            <v>0</v>
          </cell>
        </row>
        <row r="1563">
          <cell r="T1563">
            <v>0</v>
          </cell>
          <cell r="Z1563">
            <v>0</v>
          </cell>
        </row>
        <row r="1564">
          <cell r="T1564">
            <v>0</v>
          </cell>
          <cell r="Z1564">
            <v>0</v>
          </cell>
        </row>
        <row r="1565">
          <cell r="T1565">
            <v>0</v>
          </cell>
          <cell r="Z1565">
            <v>0</v>
          </cell>
        </row>
        <row r="1566">
          <cell r="T1566">
            <v>0</v>
          </cell>
          <cell r="Z1566">
            <v>0</v>
          </cell>
        </row>
        <row r="1567">
          <cell r="T1567">
            <v>0</v>
          </cell>
          <cell r="Z1567">
            <v>0</v>
          </cell>
        </row>
        <row r="1568">
          <cell r="T1568">
            <v>0</v>
          </cell>
          <cell r="Z1568">
            <v>0</v>
          </cell>
        </row>
        <row r="1569">
          <cell r="T1569">
            <v>0</v>
          </cell>
          <cell r="Z1569">
            <v>0</v>
          </cell>
        </row>
        <row r="1570">
          <cell r="T1570">
            <v>0</v>
          </cell>
          <cell r="Z1570">
            <v>0</v>
          </cell>
        </row>
        <row r="1571">
          <cell r="T1571">
            <v>0</v>
          </cell>
          <cell r="Z1571">
            <v>0</v>
          </cell>
        </row>
        <row r="1572">
          <cell r="T1572">
            <v>0</v>
          </cell>
          <cell r="Z1572">
            <v>0</v>
          </cell>
        </row>
        <row r="1573">
          <cell r="T1573">
            <v>0</v>
          </cell>
          <cell r="Z1573">
            <v>0</v>
          </cell>
        </row>
        <row r="1574">
          <cell r="T1574">
            <v>0</v>
          </cell>
          <cell r="Z1574">
            <v>0</v>
          </cell>
        </row>
        <row r="1575">
          <cell r="T1575">
            <v>0</v>
          </cell>
          <cell r="Z1575">
            <v>0</v>
          </cell>
        </row>
        <row r="1576">
          <cell r="T1576">
            <v>0</v>
          </cell>
          <cell r="Z1576">
            <v>0</v>
          </cell>
        </row>
        <row r="1577">
          <cell r="T1577">
            <v>0</v>
          </cell>
          <cell r="Z1577">
            <v>0</v>
          </cell>
        </row>
        <row r="1578">
          <cell r="T1578">
            <v>0</v>
          </cell>
          <cell r="Z1578">
            <v>0</v>
          </cell>
        </row>
        <row r="1579">
          <cell r="T1579">
            <v>0</v>
          </cell>
          <cell r="Z1579">
            <v>0</v>
          </cell>
        </row>
        <row r="1580">
          <cell r="T1580">
            <v>0</v>
          </cell>
          <cell r="Z1580">
            <v>0</v>
          </cell>
        </row>
        <row r="1581">
          <cell r="T1581">
            <v>0</v>
          </cell>
          <cell r="Z1581">
            <v>0</v>
          </cell>
        </row>
        <row r="1582">
          <cell r="T1582">
            <v>0</v>
          </cell>
          <cell r="Z1582">
            <v>0</v>
          </cell>
        </row>
        <row r="1583">
          <cell r="T1583">
            <v>0</v>
          </cell>
          <cell r="Z1583">
            <v>0</v>
          </cell>
        </row>
        <row r="1584">
          <cell r="T1584">
            <v>0</v>
          </cell>
          <cell r="Z1584">
            <v>0</v>
          </cell>
        </row>
        <row r="1585">
          <cell r="T1585">
            <v>0</v>
          </cell>
          <cell r="Z1585">
            <v>0</v>
          </cell>
        </row>
        <row r="1586">
          <cell r="T1586">
            <v>0</v>
          </cell>
          <cell r="Z1586">
            <v>0</v>
          </cell>
        </row>
        <row r="1587">
          <cell r="T1587">
            <v>0</v>
          </cell>
          <cell r="Z1587">
            <v>0</v>
          </cell>
        </row>
        <row r="1588">
          <cell r="T1588">
            <v>0</v>
          </cell>
          <cell r="Z1588">
            <v>0</v>
          </cell>
        </row>
        <row r="1589">
          <cell r="T1589">
            <v>0</v>
          </cell>
          <cell r="Z1589">
            <v>0</v>
          </cell>
        </row>
        <row r="1590">
          <cell r="T1590">
            <v>0</v>
          </cell>
          <cell r="Z1590">
            <v>0</v>
          </cell>
        </row>
        <row r="1591">
          <cell r="T1591">
            <v>0</v>
          </cell>
          <cell r="Z1591">
            <v>0</v>
          </cell>
        </row>
        <row r="1592">
          <cell r="T1592">
            <v>0</v>
          </cell>
          <cell r="Z1592">
            <v>0</v>
          </cell>
        </row>
        <row r="1593">
          <cell r="T1593">
            <v>0</v>
          </cell>
          <cell r="Z1593">
            <v>0</v>
          </cell>
        </row>
        <row r="1594">
          <cell r="T1594">
            <v>0</v>
          </cell>
          <cell r="Z1594">
            <v>0</v>
          </cell>
        </row>
        <row r="1595">
          <cell r="T1595">
            <v>0</v>
          </cell>
          <cell r="Z1595">
            <v>0</v>
          </cell>
        </row>
        <row r="1596">
          <cell r="T1596">
            <v>0</v>
          </cell>
          <cell r="Z1596">
            <v>0</v>
          </cell>
        </row>
        <row r="1597">
          <cell r="T1597">
            <v>0</v>
          </cell>
          <cell r="Z1597">
            <v>0</v>
          </cell>
        </row>
        <row r="1598">
          <cell r="T1598">
            <v>0</v>
          </cell>
          <cell r="Z1598">
            <v>0</v>
          </cell>
        </row>
        <row r="1599">
          <cell r="T1599">
            <v>0</v>
          </cell>
          <cell r="Z1599">
            <v>0</v>
          </cell>
        </row>
        <row r="1600">
          <cell r="T1600">
            <v>0</v>
          </cell>
          <cell r="Z1600">
            <v>0</v>
          </cell>
        </row>
        <row r="1601">
          <cell r="T1601">
            <v>0</v>
          </cell>
          <cell r="Z1601">
            <v>0</v>
          </cell>
        </row>
        <row r="1602">
          <cell r="T1602">
            <v>0</v>
          </cell>
          <cell r="Z1602">
            <v>0</v>
          </cell>
        </row>
        <row r="1603">
          <cell r="T1603">
            <v>0</v>
          </cell>
          <cell r="Z1603">
            <v>0</v>
          </cell>
        </row>
        <row r="1604">
          <cell r="T1604">
            <v>0</v>
          </cell>
          <cell r="Z1604">
            <v>0</v>
          </cell>
        </row>
        <row r="1605">
          <cell r="T1605">
            <v>0</v>
          </cell>
          <cell r="Z1605">
            <v>0</v>
          </cell>
        </row>
        <row r="1606">
          <cell r="T1606">
            <v>0</v>
          </cell>
          <cell r="Z1606">
            <v>0</v>
          </cell>
        </row>
        <row r="1607">
          <cell r="T1607">
            <v>0</v>
          </cell>
          <cell r="Z1607">
            <v>0</v>
          </cell>
        </row>
        <row r="1608">
          <cell r="T1608">
            <v>0</v>
          </cell>
          <cell r="Z1608">
            <v>0</v>
          </cell>
        </row>
        <row r="1609">
          <cell r="T1609">
            <v>0</v>
          </cell>
          <cell r="Z1609">
            <v>0</v>
          </cell>
        </row>
        <row r="1610">
          <cell r="T1610">
            <v>0</v>
          </cell>
          <cell r="Z1610">
            <v>0</v>
          </cell>
        </row>
        <row r="1611">
          <cell r="T1611">
            <v>0</v>
          </cell>
          <cell r="Z1611">
            <v>0</v>
          </cell>
        </row>
        <row r="1612">
          <cell r="T1612">
            <v>0</v>
          </cell>
          <cell r="Z1612">
            <v>0</v>
          </cell>
        </row>
        <row r="1613">
          <cell r="T1613">
            <v>0</v>
          </cell>
          <cell r="Z1613">
            <v>0</v>
          </cell>
        </row>
        <row r="1614">
          <cell r="T1614">
            <v>0</v>
          </cell>
          <cell r="Z1614">
            <v>0</v>
          </cell>
        </row>
        <row r="1615">
          <cell r="T1615">
            <v>0</v>
          </cell>
          <cell r="Z1615">
            <v>0</v>
          </cell>
        </row>
        <row r="1616">
          <cell r="T1616">
            <v>0</v>
          </cell>
          <cell r="Z1616">
            <v>0</v>
          </cell>
        </row>
        <row r="1617">
          <cell r="T1617">
            <v>0</v>
          </cell>
          <cell r="Z1617">
            <v>0</v>
          </cell>
        </row>
        <row r="1618">
          <cell r="T1618">
            <v>0</v>
          </cell>
          <cell r="Z1618">
            <v>0</v>
          </cell>
        </row>
        <row r="1619">
          <cell r="T1619">
            <v>0</v>
          </cell>
          <cell r="Z1619">
            <v>0</v>
          </cell>
        </row>
        <row r="1620">
          <cell r="T1620">
            <v>0</v>
          </cell>
          <cell r="Z1620">
            <v>0</v>
          </cell>
        </row>
        <row r="1621">
          <cell r="T1621">
            <v>0</v>
          </cell>
          <cell r="Z1621">
            <v>0</v>
          </cell>
        </row>
        <row r="1622">
          <cell r="T1622">
            <v>0</v>
          </cell>
          <cell r="Z1622">
            <v>0</v>
          </cell>
        </row>
        <row r="1623">
          <cell r="T1623">
            <v>0</v>
          </cell>
          <cell r="Z1623">
            <v>0</v>
          </cell>
        </row>
        <row r="1624">
          <cell r="T1624">
            <v>0</v>
          </cell>
          <cell r="Z1624">
            <v>0</v>
          </cell>
        </row>
        <row r="1625">
          <cell r="T1625">
            <v>0</v>
          </cell>
          <cell r="Z1625">
            <v>0</v>
          </cell>
        </row>
        <row r="1626">
          <cell r="T1626">
            <v>0</v>
          </cell>
          <cell r="Z1626">
            <v>0</v>
          </cell>
        </row>
        <row r="1627">
          <cell r="T1627">
            <v>0</v>
          </cell>
          <cell r="Z1627">
            <v>0</v>
          </cell>
        </row>
        <row r="1628">
          <cell r="T1628">
            <v>0</v>
          </cell>
          <cell r="Z1628">
            <v>0</v>
          </cell>
        </row>
        <row r="1629">
          <cell r="T1629">
            <v>0</v>
          </cell>
          <cell r="Z1629">
            <v>0</v>
          </cell>
        </row>
        <row r="1630">
          <cell r="T1630">
            <v>0</v>
          </cell>
          <cell r="Z1630">
            <v>0</v>
          </cell>
        </row>
        <row r="1631">
          <cell r="T1631">
            <v>0</v>
          </cell>
          <cell r="Z1631">
            <v>0</v>
          </cell>
        </row>
        <row r="1632">
          <cell r="T1632">
            <v>0</v>
          </cell>
          <cell r="Z1632">
            <v>0</v>
          </cell>
        </row>
        <row r="1633">
          <cell r="T1633">
            <v>0</v>
          </cell>
          <cell r="Z1633">
            <v>0</v>
          </cell>
        </row>
        <row r="1634">
          <cell r="T1634">
            <v>0</v>
          </cell>
          <cell r="Z1634">
            <v>0</v>
          </cell>
        </row>
        <row r="1635">
          <cell r="T1635">
            <v>0</v>
          </cell>
          <cell r="Z1635">
            <v>0</v>
          </cell>
        </row>
        <row r="1636">
          <cell r="T1636">
            <v>0</v>
          </cell>
          <cell r="Z1636">
            <v>0</v>
          </cell>
        </row>
        <row r="1637">
          <cell r="T1637">
            <v>0</v>
          </cell>
          <cell r="Z1637">
            <v>0</v>
          </cell>
        </row>
        <row r="1638">
          <cell r="T1638">
            <v>0</v>
          </cell>
          <cell r="Z1638">
            <v>0</v>
          </cell>
        </row>
        <row r="1639">
          <cell r="T1639">
            <v>0</v>
          </cell>
          <cell r="Z1639">
            <v>0</v>
          </cell>
        </row>
        <row r="1640">
          <cell r="T1640">
            <v>0</v>
          </cell>
          <cell r="Z1640">
            <v>0</v>
          </cell>
        </row>
        <row r="1641">
          <cell r="T1641">
            <v>0</v>
          </cell>
          <cell r="Z1641">
            <v>0</v>
          </cell>
        </row>
        <row r="1642">
          <cell r="T1642">
            <v>0</v>
          </cell>
          <cell r="Z1642">
            <v>0</v>
          </cell>
        </row>
        <row r="1643">
          <cell r="T1643">
            <v>0</v>
          </cell>
          <cell r="Z1643">
            <v>0</v>
          </cell>
        </row>
        <row r="1644">
          <cell r="T1644">
            <v>0</v>
          </cell>
          <cell r="Z1644">
            <v>0</v>
          </cell>
        </row>
        <row r="1645">
          <cell r="T1645">
            <v>0</v>
          </cell>
          <cell r="Z1645">
            <v>0</v>
          </cell>
        </row>
        <row r="1646">
          <cell r="T1646">
            <v>0</v>
          </cell>
          <cell r="Z1646">
            <v>0</v>
          </cell>
        </row>
        <row r="1647">
          <cell r="T1647">
            <v>0</v>
          </cell>
          <cell r="Z1647">
            <v>0</v>
          </cell>
        </row>
        <row r="1648">
          <cell r="T1648">
            <v>0</v>
          </cell>
          <cell r="Z1648">
            <v>0</v>
          </cell>
        </row>
        <row r="1649">
          <cell r="T1649">
            <v>0</v>
          </cell>
          <cell r="Z1649">
            <v>0</v>
          </cell>
        </row>
        <row r="1650">
          <cell r="T1650">
            <v>0</v>
          </cell>
          <cell r="Z1650">
            <v>0</v>
          </cell>
        </row>
        <row r="1651">
          <cell r="T1651">
            <v>0</v>
          </cell>
          <cell r="Z1651">
            <v>0</v>
          </cell>
        </row>
        <row r="1652">
          <cell r="T1652">
            <v>0</v>
          </cell>
          <cell r="Z1652">
            <v>0</v>
          </cell>
        </row>
        <row r="1653">
          <cell r="T1653">
            <v>0</v>
          </cell>
          <cell r="Z1653">
            <v>0</v>
          </cell>
        </row>
        <row r="1654">
          <cell r="T1654">
            <v>0</v>
          </cell>
          <cell r="Z1654">
            <v>0</v>
          </cell>
        </row>
        <row r="1655">
          <cell r="T1655">
            <v>0</v>
          </cell>
          <cell r="Z1655">
            <v>0</v>
          </cell>
        </row>
        <row r="1656">
          <cell r="T1656">
            <v>0</v>
          </cell>
          <cell r="Z1656">
            <v>0</v>
          </cell>
        </row>
        <row r="1657">
          <cell r="T1657">
            <v>0</v>
          </cell>
          <cell r="Z1657">
            <v>0</v>
          </cell>
        </row>
        <row r="1658">
          <cell r="T1658">
            <v>0</v>
          </cell>
          <cell r="Z1658">
            <v>0</v>
          </cell>
        </row>
        <row r="1659">
          <cell r="T1659">
            <v>0</v>
          </cell>
          <cell r="Z1659">
            <v>0</v>
          </cell>
        </row>
        <row r="1660">
          <cell r="T1660">
            <v>0</v>
          </cell>
          <cell r="Z1660">
            <v>0</v>
          </cell>
        </row>
        <row r="1661">
          <cell r="T1661">
            <v>0</v>
          </cell>
          <cell r="Z1661">
            <v>0</v>
          </cell>
        </row>
        <row r="1662">
          <cell r="T1662">
            <v>0</v>
          </cell>
          <cell r="Z1662">
            <v>0</v>
          </cell>
        </row>
        <row r="1663">
          <cell r="T1663">
            <v>0</v>
          </cell>
          <cell r="Z1663">
            <v>0</v>
          </cell>
        </row>
        <row r="1664">
          <cell r="T1664">
            <v>0</v>
          </cell>
          <cell r="Z1664">
            <v>0</v>
          </cell>
        </row>
        <row r="1665">
          <cell r="T1665">
            <v>0</v>
          </cell>
          <cell r="Z1665">
            <v>0</v>
          </cell>
        </row>
        <row r="1666">
          <cell r="T1666">
            <v>0</v>
          </cell>
          <cell r="Z1666">
            <v>0</v>
          </cell>
        </row>
        <row r="1667">
          <cell r="T1667">
            <v>0</v>
          </cell>
          <cell r="Z1667">
            <v>0</v>
          </cell>
        </row>
        <row r="1668">
          <cell r="T1668">
            <v>0</v>
          </cell>
          <cell r="Z1668">
            <v>0</v>
          </cell>
        </row>
        <row r="1669">
          <cell r="T1669">
            <v>0</v>
          </cell>
          <cell r="Z1669">
            <v>0</v>
          </cell>
        </row>
        <row r="1670">
          <cell r="T1670">
            <v>0</v>
          </cell>
          <cell r="Z1670">
            <v>0</v>
          </cell>
        </row>
        <row r="1671">
          <cell r="T1671">
            <v>0</v>
          </cell>
          <cell r="Z1671">
            <v>0</v>
          </cell>
        </row>
        <row r="1672">
          <cell r="T1672">
            <v>0</v>
          </cell>
          <cell r="Z1672">
            <v>0</v>
          </cell>
        </row>
        <row r="1673">
          <cell r="T1673">
            <v>0</v>
          </cell>
          <cell r="Z1673">
            <v>0</v>
          </cell>
        </row>
        <row r="1674">
          <cell r="T1674">
            <v>0</v>
          </cell>
          <cell r="Z1674">
            <v>0</v>
          </cell>
        </row>
        <row r="1675">
          <cell r="T1675">
            <v>0</v>
          </cell>
          <cell r="Z1675">
            <v>0</v>
          </cell>
        </row>
        <row r="1676">
          <cell r="T1676">
            <v>0</v>
          </cell>
          <cell r="Z1676">
            <v>0</v>
          </cell>
        </row>
        <row r="1677">
          <cell r="T1677">
            <v>0</v>
          </cell>
          <cell r="Z1677">
            <v>0</v>
          </cell>
        </row>
        <row r="1678">
          <cell r="T1678">
            <v>0</v>
          </cell>
          <cell r="Z1678">
            <v>0</v>
          </cell>
        </row>
        <row r="1679">
          <cell r="T1679">
            <v>0</v>
          </cell>
          <cell r="Z1679">
            <v>0</v>
          </cell>
        </row>
        <row r="1680">
          <cell r="T1680">
            <v>0</v>
          </cell>
          <cell r="Z1680">
            <v>0</v>
          </cell>
        </row>
        <row r="1681">
          <cell r="T1681">
            <v>0</v>
          </cell>
          <cell r="Z1681">
            <v>0</v>
          </cell>
        </row>
        <row r="1682">
          <cell r="T1682">
            <v>0</v>
          </cell>
          <cell r="Z1682">
            <v>0</v>
          </cell>
        </row>
        <row r="1683">
          <cell r="T1683">
            <v>0</v>
          </cell>
          <cell r="Z1683">
            <v>0</v>
          </cell>
        </row>
        <row r="1684">
          <cell r="T1684">
            <v>0</v>
          </cell>
          <cell r="Z1684">
            <v>0</v>
          </cell>
        </row>
        <row r="1685">
          <cell r="T1685">
            <v>0</v>
          </cell>
          <cell r="Z1685">
            <v>0</v>
          </cell>
        </row>
        <row r="1686">
          <cell r="T1686">
            <v>0</v>
          </cell>
          <cell r="Z1686">
            <v>0</v>
          </cell>
        </row>
        <row r="1687">
          <cell r="T1687">
            <v>0</v>
          </cell>
          <cell r="Z1687">
            <v>0</v>
          </cell>
        </row>
        <row r="1688">
          <cell r="T1688">
            <v>0</v>
          </cell>
          <cell r="Z1688">
            <v>0</v>
          </cell>
        </row>
        <row r="1689">
          <cell r="T1689">
            <v>0</v>
          </cell>
          <cell r="Z1689">
            <v>0</v>
          </cell>
        </row>
        <row r="1690">
          <cell r="T1690">
            <v>0</v>
          </cell>
          <cell r="Z1690">
            <v>0</v>
          </cell>
        </row>
        <row r="1691">
          <cell r="T1691">
            <v>0</v>
          </cell>
          <cell r="Z1691">
            <v>0</v>
          </cell>
        </row>
        <row r="1692">
          <cell r="T1692">
            <v>0</v>
          </cell>
          <cell r="Z1692">
            <v>0</v>
          </cell>
        </row>
        <row r="1693">
          <cell r="T1693">
            <v>0</v>
          </cell>
          <cell r="Z1693">
            <v>0</v>
          </cell>
        </row>
        <row r="1694">
          <cell r="T1694">
            <v>0</v>
          </cell>
          <cell r="Z1694">
            <v>0</v>
          </cell>
        </row>
        <row r="1695">
          <cell r="T1695">
            <v>0</v>
          </cell>
          <cell r="Z1695">
            <v>0</v>
          </cell>
        </row>
        <row r="1696">
          <cell r="T1696">
            <v>0</v>
          </cell>
          <cell r="Z1696">
            <v>0</v>
          </cell>
        </row>
        <row r="1697">
          <cell r="T1697">
            <v>0</v>
          </cell>
          <cell r="Z1697">
            <v>0</v>
          </cell>
        </row>
        <row r="1698">
          <cell r="T1698">
            <v>0</v>
          </cell>
          <cell r="Z1698">
            <v>0</v>
          </cell>
        </row>
        <row r="1699">
          <cell r="T1699">
            <v>0</v>
          </cell>
          <cell r="Z1699">
            <v>0</v>
          </cell>
        </row>
        <row r="1700">
          <cell r="T1700">
            <v>0</v>
          </cell>
          <cell r="Z1700">
            <v>0</v>
          </cell>
        </row>
        <row r="1701">
          <cell r="T1701">
            <v>0</v>
          </cell>
          <cell r="Z1701">
            <v>0</v>
          </cell>
        </row>
        <row r="1702">
          <cell r="T1702">
            <v>0</v>
          </cell>
          <cell r="Z1702">
            <v>0</v>
          </cell>
        </row>
        <row r="1703">
          <cell r="T1703">
            <v>0</v>
          </cell>
          <cell r="Z1703">
            <v>0</v>
          </cell>
        </row>
        <row r="1704">
          <cell r="T1704">
            <v>0</v>
          </cell>
          <cell r="Z1704">
            <v>0</v>
          </cell>
        </row>
        <row r="1705">
          <cell r="T1705">
            <v>0</v>
          </cell>
          <cell r="Z1705">
            <v>0</v>
          </cell>
        </row>
        <row r="1706">
          <cell r="T1706">
            <v>0</v>
          </cell>
          <cell r="Z1706">
            <v>0</v>
          </cell>
        </row>
        <row r="1707">
          <cell r="T1707">
            <v>0</v>
          </cell>
          <cell r="Z1707">
            <v>0</v>
          </cell>
        </row>
        <row r="1708">
          <cell r="T1708">
            <v>0</v>
          </cell>
          <cell r="Z1708">
            <v>0</v>
          </cell>
        </row>
        <row r="1709">
          <cell r="T1709">
            <v>0</v>
          </cell>
          <cell r="Z1709">
            <v>0</v>
          </cell>
        </row>
        <row r="1710">
          <cell r="T1710">
            <v>0</v>
          </cell>
          <cell r="Z1710">
            <v>0</v>
          </cell>
        </row>
        <row r="1711">
          <cell r="T1711">
            <v>0</v>
          </cell>
          <cell r="Z1711">
            <v>0</v>
          </cell>
        </row>
        <row r="1712">
          <cell r="T1712">
            <v>0</v>
          </cell>
          <cell r="Z1712">
            <v>0</v>
          </cell>
        </row>
        <row r="1713">
          <cell r="T1713">
            <v>0</v>
          </cell>
          <cell r="Z1713">
            <v>0</v>
          </cell>
        </row>
        <row r="1714">
          <cell r="T1714">
            <v>0</v>
          </cell>
          <cell r="Z1714">
            <v>0</v>
          </cell>
        </row>
        <row r="1715">
          <cell r="T1715">
            <v>0</v>
          </cell>
          <cell r="Z1715">
            <v>0</v>
          </cell>
        </row>
        <row r="1716">
          <cell r="T1716">
            <v>0</v>
          </cell>
          <cell r="Z1716">
            <v>0</v>
          </cell>
        </row>
        <row r="1717">
          <cell r="T1717">
            <v>0</v>
          </cell>
          <cell r="Z1717">
            <v>0</v>
          </cell>
        </row>
        <row r="1718">
          <cell r="T1718">
            <v>0</v>
          </cell>
          <cell r="Z1718">
            <v>0</v>
          </cell>
        </row>
        <row r="1719">
          <cell r="T1719">
            <v>0</v>
          </cell>
          <cell r="Z1719">
            <v>0</v>
          </cell>
        </row>
        <row r="1720">
          <cell r="T1720">
            <v>0</v>
          </cell>
          <cell r="Z1720">
            <v>0</v>
          </cell>
        </row>
        <row r="1721">
          <cell r="T1721">
            <v>0</v>
          </cell>
          <cell r="Z1721">
            <v>0</v>
          </cell>
        </row>
        <row r="1722">
          <cell r="T1722">
            <v>0</v>
          </cell>
          <cell r="Z1722">
            <v>0</v>
          </cell>
        </row>
        <row r="1723">
          <cell r="T1723">
            <v>0</v>
          </cell>
          <cell r="Z1723">
            <v>0</v>
          </cell>
        </row>
        <row r="1724">
          <cell r="T1724">
            <v>0</v>
          </cell>
          <cell r="Z1724">
            <v>0</v>
          </cell>
        </row>
        <row r="1725">
          <cell r="T1725">
            <v>0</v>
          </cell>
          <cell r="Z1725">
            <v>0</v>
          </cell>
        </row>
        <row r="1726">
          <cell r="T1726">
            <v>0</v>
          </cell>
          <cell r="Z1726">
            <v>0</v>
          </cell>
        </row>
        <row r="1727">
          <cell r="T1727">
            <v>0</v>
          </cell>
          <cell r="Z1727">
            <v>0</v>
          </cell>
        </row>
        <row r="1728">
          <cell r="T1728">
            <v>0</v>
          </cell>
          <cell r="Z1728">
            <v>0</v>
          </cell>
        </row>
        <row r="1729">
          <cell r="T1729">
            <v>0</v>
          </cell>
          <cell r="Z1729">
            <v>0</v>
          </cell>
        </row>
        <row r="1730">
          <cell r="T1730">
            <v>0</v>
          </cell>
          <cell r="Z1730">
            <v>0</v>
          </cell>
        </row>
        <row r="1731">
          <cell r="T1731">
            <v>0</v>
          </cell>
          <cell r="Z1731">
            <v>0</v>
          </cell>
        </row>
        <row r="1732">
          <cell r="T1732">
            <v>0</v>
          </cell>
          <cell r="Z1732">
            <v>0</v>
          </cell>
        </row>
        <row r="1733">
          <cell r="T1733">
            <v>0</v>
          </cell>
          <cell r="Z1733">
            <v>0</v>
          </cell>
        </row>
        <row r="1734">
          <cell r="T1734">
            <v>0</v>
          </cell>
          <cell r="Z1734">
            <v>0</v>
          </cell>
        </row>
        <row r="1735">
          <cell r="T1735">
            <v>0</v>
          </cell>
          <cell r="Z1735">
            <v>0</v>
          </cell>
        </row>
        <row r="1736">
          <cell r="T1736">
            <v>0</v>
          </cell>
          <cell r="Z1736">
            <v>0</v>
          </cell>
        </row>
        <row r="1737">
          <cell r="T1737">
            <v>0</v>
          </cell>
          <cell r="Z1737">
            <v>0</v>
          </cell>
        </row>
        <row r="1738">
          <cell r="T1738">
            <v>0</v>
          </cell>
          <cell r="Z1738">
            <v>0</v>
          </cell>
        </row>
        <row r="1739">
          <cell r="T1739">
            <v>0</v>
          </cell>
          <cell r="Z1739">
            <v>0</v>
          </cell>
        </row>
        <row r="1740">
          <cell r="T1740">
            <v>0</v>
          </cell>
          <cell r="Z1740">
            <v>0</v>
          </cell>
        </row>
        <row r="1741">
          <cell r="T1741">
            <v>0</v>
          </cell>
          <cell r="Z1741">
            <v>0</v>
          </cell>
        </row>
        <row r="1742">
          <cell r="T1742">
            <v>0</v>
          </cell>
          <cell r="Z1742">
            <v>0</v>
          </cell>
        </row>
        <row r="1743">
          <cell r="T1743">
            <v>0</v>
          </cell>
          <cell r="Z1743">
            <v>0</v>
          </cell>
        </row>
        <row r="1744">
          <cell r="T1744">
            <v>0</v>
          </cell>
          <cell r="Z1744">
            <v>0</v>
          </cell>
        </row>
        <row r="1745">
          <cell r="T1745">
            <v>0</v>
          </cell>
          <cell r="Z1745">
            <v>0</v>
          </cell>
        </row>
        <row r="1746">
          <cell r="T1746">
            <v>0</v>
          </cell>
          <cell r="Z1746">
            <v>0</v>
          </cell>
        </row>
        <row r="1747">
          <cell r="T1747">
            <v>0</v>
          </cell>
          <cell r="Z1747">
            <v>0</v>
          </cell>
        </row>
        <row r="1748">
          <cell r="T1748">
            <v>0</v>
          </cell>
          <cell r="Z1748">
            <v>0</v>
          </cell>
        </row>
        <row r="1749">
          <cell r="T1749">
            <v>0</v>
          </cell>
          <cell r="Z1749">
            <v>0</v>
          </cell>
        </row>
        <row r="1750">
          <cell r="T1750">
            <v>0</v>
          </cell>
          <cell r="Z1750">
            <v>0</v>
          </cell>
        </row>
        <row r="1751">
          <cell r="T1751">
            <v>0</v>
          </cell>
          <cell r="Z1751">
            <v>0</v>
          </cell>
        </row>
        <row r="1752">
          <cell r="T1752">
            <v>0</v>
          </cell>
          <cell r="Z1752">
            <v>0</v>
          </cell>
        </row>
        <row r="1753">
          <cell r="T1753">
            <v>0</v>
          </cell>
          <cell r="Z1753">
            <v>0</v>
          </cell>
        </row>
        <row r="1754">
          <cell r="T1754">
            <v>0</v>
          </cell>
          <cell r="Z1754">
            <v>0</v>
          </cell>
        </row>
        <row r="1755">
          <cell r="T1755">
            <v>0</v>
          </cell>
          <cell r="Z1755">
            <v>0</v>
          </cell>
        </row>
        <row r="1756">
          <cell r="T1756">
            <v>0</v>
          </cell>
          <cell r="Z1756">
            <v>0</v>
          </cell>
        </row>
        <row r="1757">
          <cell r="T1757">
            <v>0</v>
          </cell>
          <cell r="Z1757">
            <v>0</v>
          </cell>
        </row>
        <row r="1758">
          <cell r="T1758">
            <v>0</v>
          </cell>
          <cell r="Z1758">
            <v>0</v>
          </cell>
        </row>
        <row r="1759">
          <cell r="T1759">
            <v>0</v>
          </cell>
          <cell r="Z1759">
            <v>0</v>
          </cell>
        </row>
        <row r="1760">
          <cell r="T1760">
            <v>0</v>
          </cell>
          <cell r="Z1760">
            <v>0</v>
          </cell>
        </row>
        <row r="1761">
          <cell r="T1761">
            <v>0</v>
          </cell>
          <cell r="Z1761">
            <v>0</v>
          </cell>
        </row>
        <row r="1762">
          <cell r="T1762">
            <v>0</v>
          </cell>
          <cell r="Z1762">
            <v>0</v>
          </cell>
        </row>
        <row r="1763">
          <cell r="T1763">
            <v>0</v>
          </cell>
          <cell r="Z1763">
            <v>0</v>
          </cell>
        </row>
        <row r="1764">
          <cell r="T1764">
            <v>0</v>
          </cell>
          <cell r="Z1764">
            <v>0</v>
          </cell>
        </row>
        <row r="1765">
          <cell r="T1765">
            <v>0</v>
          </cell>
          <cell r="Z1765">
            <v>0</v>
          </cell>
        </row>
        <row r="1766">
          <cell r="T1766">
            <v>0</v>
          </cell>
          <cell r="Z1766">
            <v>0</v>
          </cell>
        </row>
        <row r="1767">
          <cell r="T1767">
            <v>0</v>
          </cell>
          <cell r="Z1767">
            <v>0</v>
          </cell>
        </row>
        <row r="1768">
          <cell r="T1768">
            <v>0</v>
          </cell>
          <cell r="Z1768">
            <v>0</v>
          </cell>
        </row>
        <row r="1769">
          <cell r="T1769">
            <v>0</v>
          </cell>
          <cell r="Z1769">
            <v>0</v>
          </cell>
        </row>
        <row r="1770">
          <cell r="T1770">
            <v>0</v>
          </cell>
          <cell r="Z1770">
            <v>0</v>
          </cell>
        </row>
        <row r="1771">
          <cell r="T1771">
            <v>0</v>
          </cell>
          <cell r="Z1771">
            <v>0</v>
          </cell>
        </row>
        <row r="1772">
          <cell r="T1772">
            <v>0</v>
          </cell>
          <cell r="Z1772">
            <v>0</v>
          </cell>
        </row>
        <row r="1773">
          <cell r="T1773">
            <v>0</v>
          </cell>
          <cell r="Z1773">
            <v>0</v>
          </cell>
        </row>
        <row r="1774">
          <cell r="T1774">
            <v>0</v>
          </cell>
          <cell r="Z1774">
            <v>0</v>
          </cell>
        </row>
        <row r="1775">
          <cell r="T1775">
            <v>0</v>
          </cell>
          <cell r="Z1775">
            <v>0</v>
          </cell>
        </row>
        <row r="1776">
          <cell r="T1776">
            <v>0</v>
          </cell>
          <cell r="Z1776">
            <v>0</v>
          </cell>
        </row>
        <row r="1777">
          <cell r="T1777">
            <v>0</v>
          </cell>
          <cell r="Z1777">
            <v>0</v>
          </cell>
        </row>
        <row r="1778">
          <cell r="T1778">
            <v>0</v>
          </cell>
          <cell r="Z1778">
            <v>0</v>
          </cell>
        </row>
        <row r="1779">
          <cell r="T1779">
            <v>0</v>
          </cell>
          <cell r="Z1779">
            <v>0</v>
          </cell>
        </row>
        <row r="1780">
          <cell r="T1780">
            <v>0</v>
          </cell>
          <cell r="Z1780">
            <v>0</v>
          </cell>
        </row>
        <row r="1781">
          <cell r="T1781">
            <v>0</v>
          </cell>
          <cell r="Z1781">
            <v>0</v>
          </cell>
        </row>
        <row r="1782">
          <cell r="T1782">
            <v>0</v>
          </cell>
          <cell r="Z1782">
            <v>0</v>
          </cell>
        </row>
        <row r="1783">
          <cell r="T1783">
            <v>0</v>
          </cell>
          <cell r="Z1783">
            <v>0</v>
          </cell>
        </row>
        <row r="1784">
          <cell r="T1784">
            <v>0</v>
          </cell>
          <cell r="Z1784">
            <v>0</v>
          </cell>
        </row>
        <row r="1785">
          <cell r="T1785">
            <v>0</v>
          </cell>
          <cell r="Z1785">
            <v>0</v>
          </cell>
        </row>
        <row r="1786">
          <cell r="T1786">
            <v>0</v>
          </cell>
          <cell r="Z1786">
            <v>0</v>
          </cell>
        </row>
        <row r="1787">
          <cell r="T1787">
            <v>0</v>
          </cell>
          <cell r="Z1787">
            <v>0</v>
          </cell>
        </row>
        <row r="1788">
          <cell r="T1788">
            <v>0</v>
          </cell>
          <cell r="Z1788">
            <v>0</v>
          </cell>
        </row>
        <row r="1789">
          <cell r="T1789">
            <v>0</v>
          </cell>
          <cell r="Z1789">
            <v>0</v>
          </cell>
        </row>
        <row r="1790">
          <cell r="T1790">
            <v>0</v>
          </cell>
          <cell r="Z1790">
            <v>0</v>
          </cell>
        </row>
        <row r="1791">
          <cell r="T1791">
            <v>0</v>
          </cell>
          <cell r="Z1791">
            <v>0</v>
          </cell>
        </row>
        <row r="1792">
          <cell r="T1792">
            <v>0</v>
          </cell>
          <cell r="Z1792">
            <v>0</v>
          </cell>
        </row>
        <row r="1793">
          <cell r="T1793">
            <v>0</v>
          </cell>
          <cell r="Z1793">
            <v>0</v>
          </cell>
        </row>
        <row r="1794">
          <cell r="T1794">
            <v>0</v>
          </cell>
          <cell r="Z1794">
            <v>0</v>
          </cell>
        </row>
        <row r="1795">
          <cell r="T1795">
            <v>0</v>
          </cell>
          <cell r="Z1795">
            <v>0</v>
          </cell>
        </row>
        <row r="1796">
          <cell r="T1796">
            <v>0</v>
          </cell>
          <cell r="Z1796">
            <v>0</v>
          </cell>
        </row>
        <row r="1797">
          <cell r="T1797">
            <v>0</v>
          </cell>
          <cell r="Z1797">
            <v>0</v>
          </cell>
        </row>
        <row r="1798">
          <cell r="T1798">
            <v>0</v>
          </cell>
          <cell r="Z1798">
            <v>0</v>
          </cell>
        </row>
        <row r="1799">
          <cell r="T1799">
            <v>0</v>
          </cell>
          <cell r="Z1799">
            <v>0</v>
          </cell>
        </row>
        <row r="1800">
          <cell r="T1800">
            <v>0</v>
          </cell>
          <cell r="Z1800">
            <v>0</v>
          </cell>
        </row>
        <row r="1801">
          <cell r="T1801">
            <v>0</v>
          </cell>
          <cell r="Z1801">
            <v>0</v>
          </cell>
        </row>
        <row r="1802">
          <cell r="T1802">
            <v>0</v>
          </cell>
          <cell r="Z1802">
            <v>0</v>
          </cell>
        </row>
        <row r="1803">
          <cell r="T1803">
            <v>0</v>
          </cell>
          <cell r="Z1803">
            <v>0</v>
          </cell>
        </row>
        <row r="1804">
          <cell r="T1804">
            <v>0</v>
          </cell>
          <cell r="Z1804">
            <v>0</v>
          </cell>
        </row>
        <row r="1805">
          <cell r="T1805">
            <v>0</v>
          </cell>
          <cell r="Z1805">
            <v>0</v>
          </cell>
        </row>
        <row r="1806">
          <cell r="T1806">
            <v>0</v>
          </cell>
          <cell r="Z1806">
            <v>0</v>
          </cell>
        </row>
        <row r="1807">
          <cell r="T1807">
            <v>0</v>
          </cell>
          <cell r="Z1807">
            <v>0</v>
          </cell>
        </row>
        <row r="1808">
          <cell r="T1808">
            <v>0</v>
          </cell>
          <cell r="Z1808">
            <v>0</v>
          </cell>
        </row>
        <row r="1809">
          <cell r="T1809">
            <v>0</v>
          </cell>
          <cell r="Z1809">
            <v>0</v>
          </cell>
        </row>
        <row r="1810">
          <cell r="T1810">
            <v>0</v>
          </cell>
          <cell r="Z1810">
            <v>0</v>
          </cell>
        </row>
        <row r="1811">
          <cell r="T1811">
            <v>0</v>
          </cell>
          <cell r="Z1811">
            <v>0</v>
          </cell>
        </row>
        <row r="1812">
          <cell r="T1812">
            <v>0</v>
          </cell>
          <cell r="Z1812">
            <v>0</v>
          </cell>
        </row>
        <row r="1813">
          <cell r="T1813">
            <v>0</v>
          </cell>
          <cell r="Z1813">
            <v>0</v>
          </cell>
        </row>
        <row r="1814">
          <cell r="T1814">
            <v>0</v>
          </cell>
          <cell r="Z1814">
            <v>0</v>
          </cell>
        </row>
        <row r="1815">
          <cell r="T1815">
            <v>0</v>
          </cell>
          <cell r="Z1815">
            <v>0</v>
          </cell>
        </row>
        <row r="1816">
          <cell r="T1816">
            <v>0</v>
          </cell>
          <cell r="Z1816">
            <v>0</v>
          </cell>
        </row>
        <row r="1817">
          <cell r="T1817">
            <v>0</v>
          </cell>
          <cell r="Z1817">
            <v>0</v>
          </cell>
        </row>
        <row r="1818">
          <cell r="T1818">
            <v>0</v>
          </cell>
          <cell r="Z1818">
            <v>0</v>
          </cell>
        </row>
        <row r="1819">
          <cell r="T1819">
            <v>0</v>
          </cell>
          <cell r="Z1819">
            <v>0</v>
          </cell>
        </row>
        <row r="1820">
          <cell r="T1820">
            <v>0</v>
          </cell>
          <cell r="Z1820">
            <v>0</v>
          </cell>
        </row>
        <row r="1821">
          <cell r="T1821">
            <v>0</v>
          </cell>
          <cell r="Z1821">
            <v>0</v>
          </cell>
        </row>
        <row r="1822">
          <cell r="T1822">
            <v>0</v>
          </cell>
          <cell r="Z1822">
            <v>0</v>
          </cell>
        </row>
        <row r="1823">
          <cell r="T1823">
            <v>0</v>
          </cell>
          <cell r="Z1823">
            <v>0</v>
          </cell>
        </row>
        <row r="1824">
          <cell r="T1824">
            <v>0</v>
          </cell>
          <cell r="Z1824">
            <v>0</v>
          </cell>
        </row>
        <row r="1825">
          <cell r="T1825">
            <v>0</v>
          </cell>
          <cell r="Z1825">
            <v>0</v>
          </cell>
        </row>
        <row r="1826">
          <cell r="T1826">
            <v>0</v>
          </cell>
          <cell r="Z1826">
            <v>0</v>
          </cell>
        </row>
        <row r="1827">
          <cell r="T1827">
            <v>0</v>
          </cell>
          <cell r="Z1827">
            <v>0</v>
          </cell>
        </row>
        <row r="1828">
          <cell r="T1828">
            <v>0</v>
          </cell>
          <cell r="Z1828">
            <v>0</v>
          </cell>
        </row>
        <row r="1829">
          <cell r="T1829">
            <v>0</v>
          </cell>
          <cell r="Z1829">
            <v>0</v>
          </cell>
        </row>
        <row r="1830">
          <cell r="T1830">
            <v>0</v>
          </cell>
          <cell r="Z1830">
            <v>0</v>
          </cell>
        </row>
        <row r="1831">
          <cell r="T1831">
            <v>0</v>
          </cell>
          <cell r="Z1831">
            <v>0</v>
          </cell>
        </row>
        <row r="1832">
          <cell r="T1832">
            <v>0</v>
          </cell>
          <cell r="Z1832">
            <v>0</v>
          </cell>
        </row>
        <row r="1833">
          <cell r="T1833">
            <v>0</v>
          </cell>
          <cell r="Z1833">
            <v>0</v>
          </cell>
        </row>
        <row r="1834">
          <cell r="T1834">
            <v>0</v>
          </cell>
          <cell r="Z1834">
            <v>0</v>
          </cell>
        </row>
        <row r="1835">
          <cell r="T1835">
            <v>0</v>
          </cell>
          <cell r="Z1835">
            <v>0</v>
          </cell>
        </row>
        <row r="1836">
          <cell r="T1836">
            <v>0</v>
          </cell>
          <cell r="Z1836">
            <v>0</v>
          </cell>
        </row>
        <row r="1837">
          <cell r="T1837">
            <v>0</v>
          </cell>
          <cell r="Z1837">
            <v>0</v>
          </cell>
        </row>
        <row r="1838">
          <cell r="T1838">
            <v>0</v>
          </cell>
          <cell r="Z1838">
            <v>0</v>
          </cell>
        </row>
        <row r="1839">
          <cell r="T1839">
            <v>0</v>
          </cell>
          <cell r="Z1839">
            <v>0</v>
          </cell>
        </row>
        <row r="1840">
          <cell r="T1840">
            <v>0</v>
          </cell>
          <cell r="Z1840">
            <v>0</v>
          </cell>
        </row>
        <row r="1841">
          <cell r="T1841">
            <v>0</v>
          </cell>
          <cell r="Z1841">
            <v>0</v>
          </cell>
        </row>
        <row r="1842">
          <cell r="T1842">
            <v>0</v>
          </cell>
          <cell r="Z1842">
            <v>0</v>
          </cell>
        </row>
        <row r="1843">
          <cell r="T1843">
            <v>0</v>
          </cell>
          <cell r="Z1843">
            <v>0</v>
          </cell>
        </row>
        <row r="1844">
          <cell r="T1844">
            <v>0</v>
          </cell>
          <cell r="Z1844">
            <v>0</v>
          </cell>
        </row>
        <row r="1845">
          <cell r="T1845">
            <v>0</v>
          </cell>
          <cell r="Z1845">
            <v>0</v>
          </cell>
        </row>
        <row r="1846">
          <cell r="T1846">
            <v>0</v>
          </cell>
          <cell r="Z1846">
            <v>0</v>
          </cell>
        </row>
        <row r="1847">
          <cell r="T1847">
            <v>0</v>
          </cell>
          <cell r="Z1847">
            <v>0</v>
          </cell>
        </row>
        <row r="1848">
          <cell r="T1848">
            <v>0</v>
          </cell>
          <cell r="Z1848">
            <v>0</v>
          </cell>
        </row>
        <row r="1849">
          <cell r="T1849">
            <v>0</v>
          </cell>
          <cell r="Z1849">
            <v>0</v>
          </cell>
        </row>
        <row r="1850">
          <cell r="T1850">
            <v>0</v>
          </cell>
          <cell r="Z1850">
            <v>0</v>
          </cell>
        </row>
        <row r="1851">
          <cell r="T1851">
            <v>0</v>
          </cell>
          <cell r="Z1851">
            <v>0</v>
          </cell>
        </row>
        <row r="1852">
          <cell r="T1852">
            <v>0</v>
          </cell>
          <cell r="Z1852">
            <v>0</v>
          </cell>
        </row>
        <row r="1853">
          <cell r="T1853">
            <v>0</v>
          </cell>
          <cell r="Z1853">
            <v>0</v>
          </cell>
        </row>
        <row r="1854">
          <cell r="T1854">
            <v>0</v>
          </cell>
          <cell r="Z1854">
            <v>0</v>
          </cell>
        </row>
        <row r="1855">
          <cell r="T1855">
            <v>0</v>
          </cell>
          <cell r="Z1855">
            <v>0</v>
          </cell>
        </row>
        <row r="1856">
          <cell r="T1856">
            <v>0</v>
          </cell>
          <cell r="Z1856">
            <v>0</v>
          </cell>
        </row>
        <row r="1857">
          <cell r="T1857">
            <v>0</v>
          </cell>
          <cell r="Z1857">
            <v>0</v>
          </cell>
        </row>
        <row r="1858">
          <cell r="T1858">
            <v>0</v>
          </cell>
          <cell r="Z1858">
            <v>0</v>
          </cell>
        </row>
        <row r="1859">
          <cell r="T1859">
            <v>0</v>
          </cell>
          <cell r="Z1859">
            <v>0</v>
          </cell>
        </row>
        <row r="1860">
          <cell r="T1860">
            <v>0</v>
          </cell>
          <cell r="Z1860">
            <v>0</v>
          </cell>
        </row>
        <row r="1861">
          <cell r="T1861">
            <v>0</v>
          </cell>
          <cell r="Z1861">
            <v>0</v>
          </cell>
        </row>
        <row r="1862">
          <cell r="T1862">
            <v>0</v>
          </cell>
          <cell r="Z1862">
            <v>0</v>
          </cell>
        </row>
        <row r="1863">
          <cell r="T1863">
            <v>0</v>
          </cell>
          <cell r="Z1863">
            <v>0</v>
          </cell>
        </row>
        <row r="1864">
          <cell r="T1864">
            <v>0</v>
          </cell>
          <cell r="Z1864">
            <v>0</v>
          </cell>
        </row>
        <row r="1865">
          <cell r="T1865">
            <v>0</v>
          </cell>
          <cell r="Z1865">
            <v>0</v>
          </cell>
        </row>
        <row r="1866">
          <cell r="T1866">
            <v>0</v>
          </cell>
          <cell r="Z1866">
            <v>0</v>
          </cell>
        </row>
        <row r="1867">
          <cell r="T1867">
            <v>0</v>
          </cell>
          <cell r="Z1867">
            <v>0</v>
          </cell>
        </row>
        <row r="1868">
          <cell r="T1868">
            <v>0</v>
          </cell>
          <cell r="Z1868">
            <v>0</v>
          </cell>
        </row>
        <row r="1869">
          <cell r="T1869">
            <v>0</v>
          </cell>
          <cell r="Z1869">
            <v>0</v>
          </cell>
        </row>
        <row r="1870">
          <cell r="T1870">
            <v>0</v>
          </cell>
          <cell r="Z1870">
            <v>0</v>
          </cell>
        </row>
        <row r="1871">
          <cell r="T1871">
            <v>0</v>
          </cell>
          <cell r="Z1871">
            <v>0</v>
          </cell>
        </row>
        <row r="1872">
          <cell r="T1872">
            <v>0</v>
          </cell>
          <cell r="Z1872">
            <v>0</v>
          </cell>
        </row>
        <row r="1873">
          <cell r="T1873">
            <v>0</v>
          </cell>
          <cell r="Z1873">
            <v>0</v>
          </cell>
        </row>
        <row r="1874">
          <cell r="T1874">
            <v>0</v>
          </cell>
          <cell r="Z1874">
            <v>0</v>
          </cell>
        </row>
        <row r="1875">
          <cell r="T1875">
            <v>0</v>
          </cell>
          <cell r="Z1875">
            <v>0</v>
          </cell>
        </row>
        <row r="1876">
          <cell r="T1876">
            <v>0</v>
          </cell>
          <cell r="Z1876">
            <v>0</v>
          </cell>
        </row>
        <row r="1877">
          <cell r="T1877">
            <v>0</v>
          </cell>
          <cell r="Z1877">
            <v>0</v>
          </cell>
        </row>
        <row r="1878">
          <cell r="T1878">
            <v>0</v>
          </cell>
          <cell r="Z1878">
            <v>0</v>
          </cell>
        </row>
        <row r="1879">
          <cell r="T1879">
            <v>0</v>
          </cell>
          <cell r="Z1879">
            <v>0</v>
          </cell>
        </row>
        <row r="1880">
          <cell r="T1880">
            <v>0</v>
          </cell>
          <cell r="Z1880">
            <v>0</v>
          </cell>
        </row>
        <row r="1881">
          <cell r="T1881">
            <v>0</v>
          </cell>
          <cell r="Z1881">
            <v>0</v>
          </cell>
        </row>
        <row r="1882">
          <cell r="T1882">
            <v>0</v>
          </cell>
          <cell r="Z1882">
            <v>0</v>
          </cell>
        </row>
        <row r="1883">
          <cell r="T1883">
            <v>0</v>
          </cell>
          <cell r="Z1883">
            <v>0</v>
          </cell>
        </row>
        <row r="1884">
          <cell r="T1884">
            <v>0</v>
          </cell>
          <cell r="Z1884">
            <v>0</v>
          </cell>
        </row>
        <row r="1885">
          <cell r="T1885">
            <v>0</v>
          </cell>
          <cell r="Z1885">
            <v>0</v>
          </cell>
        </row>
        <row r="1886">
          <cell r="T1886">
            <v>0</v>
          </cell>
          <cell r="Z1886">
            <v>0</v>
          </cell>
        </row>
        <row r="1887">
          <cell r="T1887">
            <v>0</v>
          </cell>
          <cell r="Z1887">
            <v>0</v>
          </cell>
        </row>
        <row r="1888">
          <cell r="T1888">
            <v>0</v>
          </cell>
          <cell r="Z1888">
            <v>0</v>
          </cell>
        </row>
        <row r="1889">
          <cell r="T1889">
            <v>0</v>
          </cell>
          <cell r="Z1889">
            <v>0</v>
          </cell>
        </row>
        <row r="1890">
          <cell r="T1890">
            <v>0</v>
          </cell>
          <cell r="Z1890">
            <v>0</v>
          </cell>
        </row>
        <row r="1891">
          <cell r="T1891">
            <v>0</v>
          </cell>
          <cell r="Z1891">
            <v>0</v>
          </cell>
        </row>
        <row r="1892">
          <cell r="T1892">
            <v>0</v>
          </cell>
          <cell r="Z1892">
            <v>0</v>
          </cell>
        </row>
        <row r="1893">
          <cell r="T1893">
            <v>0</v>
          </cell>
          <cell r="Z1893">
            <v>0</v>
          </cell>
        </row>
        <row r="1894">
          <cell r="T1894">
            <v>0</v>
          </cell>
          <cell r="Z1894">
            <v>0</v>
          </cell>
        </row>
        <row r="1895">
          <cell r="T1895">
            <v>0</v>
          </cell>
          <cell r="Z1895">
            <v>0</v>
          </cell>
        </row>
        <row r="1896">
          <cell r="T1896">
            <v>0</v>
          </cell>
          <cell r="Z1896">
            <v>0</v>
          </cell>
        </row>
        <row r="1897">
          <cell r="T1897">
            <v>0</v>
          </cell>
          <cell r="Z1897">
            <v>0</v>
          </cell>
        </row>
        <row r="1898">
          <cell r="T1898">
            <v>0</v>
          </cell>
          <cell r="Z1898">
            <v>0</v>
          </cell>
        </row>
        <row r="1899">
          <cell r="T1899">
            <v>0</v>
          </cell>
          <cell r="Z1899">
            <v>0</v>
          </cell>
        </row>
        <row r="1900">
          <cell r="T1900">
            <v>0</v>
          </cell>
          <cell r="Z1900">
            <v>0</v>
          </cell>
        </row>
        <row r="1901">
          <cell r="T1901">
            <v>0</v>
          </cell>
          <cell r="Z1901">
            <v>0</v>
          </cell>
        </row>
        <row r="1902">
          <cell r="T1902">
            <v>0</v>
          </cell>
          <cell r="Z1902">
            <v>0</v>
          </cell>
        </row>
        <row r="1903">
          <cell r="T1903">
            <v>0</v>
          </cell>
          <cell r="Z1903">
            <v>0</v>
          </cell>
        </row>
        <row r="1904">
          <cell r="T1904">
            <v>0</v>
          </cell>
          <cell r="Z1904">
            <v>0</v>
          </cell>
        </row>
        <row r="1905">
          <cell r="T1905">
            <v>0</v>
          </cell>
          <cell r="Z1905">
            <v>0</v>
          </cell>
        </row>
        <row r="1906">
          <cell r="T1906">
            <v>0</v>
          </cell>
          <cell r="Z1906">
            <v>0</v>
          </cell>
        </row>
        <row r="1907">
          <cell r="T1907">
            <v>0</v>
          </cell>
          <cell r="Z1907">
            <v>0</v>
          </cell>
        </row>
        <row r="1908">
          <cell r="T1908">
            <v>0</v>
          </cell>
          <cell r="Z1908">
            <v>0</v>
          </cell>
        </row>
        <row r="1909">
          <cell r="T1909">
            <v>0</v>
          </cell>
          <cell r="Z1909">
            <v>0</v>
          </cell>
        </row>
        <row r="1910">
          <cell r="T1910">
            <v>0</v>
          </cell>
          <cell r="Z1910">
            <v>0</v>
          </cell>
        </row>
        <row r="1911">
          <cell r="T1911">
            <v>0</v>
          </cell>
          <cell r="Z1911">
            <v>0</v>
          </cell>
        </row>
        <row r="1912">
          <cell r="T1912">
            <v>0</v>
          </cell>
          <cell r="Z1912">
            <v>0</v>
          </cell>
        </row>
        <row r="1913">
          <cell r="T1913">
            <v>0</v>
          </cell>
          <cell r="Z1913">
            <v>0</v>
          </cell>
        </row>
        <row r="1914">
          <cell r="T1914">
            <v>0</v>
          </cell>
          <cell r="Z1914">
            <v>0</v>
          </cell>
        </row>
        <row r="1915">
          <cell r="T1915">
            <v>0</v>
          </cell>
          <cell r="Z1915">
            <v>0</v>
          </cell>
        </row>
        <row r="1916">
          <cell r="T1916">
            <v>0</v>
          </cell>
          <cell r="Z1916">
            <v>0</v>
          </cell>
        </row>
        <row r="1917">
          <cell r="T1917">
            <v>0</v>
          </cell>
          <cell r="Z1917">
            <v>0</v>
          </cell>
        </row>
        <row r="1918">
          <cell r="T1918">
            <v>0</v>
          </cell>
          <cell r="Z1918">
            <v>0</v>
          </cell>
        </row>
        <row r="1919">
          <cell r="T1919">
            <v>0</v>
          </cell>
          <cell r="Z1919">
            <v>0</v>
          </cell>
        </row>
        <row r="1920">
          <cell r="T1920">
            <v>0</v>
          </cell>
          <cell r="Z1920">
            <v>0</v>
          </cell>
        </row>
        <row r="1921">
          <cell r="T1921">
            <v>0</v>
          </cell>
          <cell r="Z1921">
            <v>0</v>
          </cell>
        </row>
        <row r="1922">
          <cell r="T1922">
            <v>0</v>
          </cell>
          <cell r="Z1922">
            <v>0</v>
          </cell>
        </row>
        <row r="1923">
          <cell r="T1923">
            <v>0</v>
          </cell>
          <cell r="Z1923">
            <v>0</v>
          </cell>
        </row>
        <row r="1924">
          <cell r="T1924">
            <v>0</v>
          </cell>
          <cell r="Z1924">
            <v>0</v>
          </cell>
        </row>
        <row r="1925">
          <cell r="T1925">
            <v>0</v>
          </cell>
          <cell r="Z1925">
            <v>0</v>
          </cell>
        </row>
        <row r="1926">
          <cell r="T1926">
            <v>0</v>
          </cell>
          <cell r="Z1926">
            <v>0</v>
          </cell>
        </row>
        <row r="1927">
          <cell r="T1927">
            <v>0</v>
          </cell>
          <cell r="Z1927">
            <v>0</v>
          </cell>
        </row>
        <row r="1928">
          <cell r="T1928">
            <v>0</v>
          </cell>
          <cell r="Z1928">
            <v>0</v>
          </cell>
        </row>
        <row r="1929">
          <cell r="T1929">
            <v>0</v>
          </cell>
          <cell r="Z1929">
            <v>0</v>
          </cell>
        </row>
        <row r="1930">
          <cell r="T1930">
            <v>0</v>
          </cell>
          <cell r="Z1930">
            <v>0</v>
          </cell>
        </row>
        <row r="1931">
          <cell r="T1931">
            <v>0</v>
          </cell>
          <cell r="Z1931">
            <v>0</v>
          </cell>
        </row>
        <row r="1932">
          <cell r="T1932">
            <v>0</v>
          </cell>
          <cell r="Z1932">
            <v>0</v>
          </cell>
        </row>
        <row r="1933">
          <cell r="T1933">
            <v>0</v>
          </cell>
          <cell r="Z1933">
            <v>0</v>
          </cell>
        </row>
        <row r="1934">
          <cell r="T1934">
            <v>0</v>
          </cell>
          <cell r="Z1934">
            <v>0</v>
          </cell>
        </row>
        <row r="1935">
          <cell r="T1935">
            <v>0</v>
          </cell>
          <cell r="Z1935">
            <v>0</v>
          </cell>
        </row>
        <row r="1936">
          <cell r="T1936">
            <v>0</v>
          </cell>
          <cell r="Z1936">
            <v>0</v>
          </cell>
        </row>
        <row r="1937">
          <cell r="T1937">
            <v>0</v>
          </cell>
          <cell r="Z1937">
            <v>0</v>
          </cell>
        </row>
        <row r="1938">
          <cell r="T1938">
            <v>0</v>
          </cell>
          <cell r="Z1938">
            <v>0</v>
          </cell>
        </row>
        <row r="1939">
          <cell r="T1939">
            <v>0</v>
          </cell>
          <cell r="Z1939">
            <v>0</v>
          </cell>
        </row>
        <row r="1940">
          <cell r="T1940">
            <v>0</v>
          </cell>
          <cell r="Z1940">
            <v>0</v>
          </cell>
        </row>
        <row r="1941">
          <cell r="T1941">
            <v>0</v>
          </cell>
          <cell r="Z1941">
            <v>0</v>
          </cell>
        </row>
        <row r="1942">
          <cell r="T1942">
            <v>0</v>
          </cell>
          <cell r="Z1942">
            <v>0</v>
          </cell>
        </row>
        <row r="1943">
          <cell r="T1943">
            <v>0</v>
          </cell>
          <cell r="Z1943">
            <v>0</v>
          </cell>
        </row>
        <row r="1944">
          <cell r="T1944">
            <v>0</v>
          </cell>
          <cell r="Z1944">
            <v>0</v>
          </cell>
        </row>
        <row r="1945">
          <cell r="T1945">
            <v>0</v>
          </cell>
          <cell r="Z1945">
            <v>0</v>
          </cell>
        </row>
        <row r="1946">
          <cell r="T1946">
            <v>0</v>
          </cell>
          <cell r="Z1946">
            <v>0</v>
          </cell>
        </row>
        <row r="1947">
          <cell r="T1947">
            <v>0</v>
          </cell>
          <cell r="Z1947">
            <v>0</v>
          </cell>
        </row>
        <row r="1948">
          <cell r="T1948">
            <v>0</v>
          </cell>
          <cell r="Z1948">
            <v>0</v>
          </cell>
        </row>
        <row r="1949">
          <cell r="T1949">
            <v>0</v>
          </cell>
          <cell r="Z1949">
            <v>0</v>
          </cell>
        </row>
        <row r="1950">
          <cell r="T1950">
            <v>0</v>
          </cell>
          <cell r="Z1950">
            <v>0</v>
          </cell>
        </row>
        <row r="1951">
          <cell r="T1951">
            <v>0</v>
          </cell>
          <cell r="Z1951">
            <v>0</v>
          </cell>
        </row>
        <row r="1952">
          <cell r="T1952">
            <v>0</v>
          </cell>
          <cell r="Z1952">
            <v>0</v>
          </cell>
        </row>
        <row r="1953">
          <cell r="T1953">
            <v>0</v>
          </cell>
          <cell r="Z1953">
            <v>0</v>
          </cell>
        </row>
        <row r="1954">
          <cell r="T1954">
            <v>0</v>
          </cell>
          <cell r="Z1954">
            <v>0</v>
          </cell>
        </row>
        <row r="1955">
          <cell r="T1955">
            <v>0</v>
          </cell>
          <cell r="Z1955">
            <v>0</v>
          </cell>
        </row>
        <row r="1956">
          <cell r="T1956">
            <v>0</v>
          </cell>
          <cell r="Z1956">
            <v>0</v>
          </cell>
        </row>
        <row r="1957">
          <cell r="T1957">
            <v>0</v>
          </cell>
          <cell r="Z1957">
            <v>0</v>
          </cell>
        </row>
        <row r="1958">
          <cell r="T1958">
            <v>0</v>
          </cell>
          <cell r="Z1958">
            <v>0</v>
          </cell>
        </row>
        <row r="1959">
          <cell r="T1959">
            <v>0</v>
          </cell>
          <cell r="Z1959">
            <v>0</v>
          </cell>
        </row>
        <row r="1960">
          <cell r="T1960">
            <v>0</v>
          </cell>
          <cell r="Z1960">
            <v>0</v>
          </cell>
        </row>
        <row r="1961">
          <cell r="T1961">
            <v>0</v>
          </cell>
          <cell r="Z1961">
            <v>0</v>
          </cell>
        </row>
        <row r="1962">
          <cell r="T1962">
            <v>0</v>
          </cell>
          <cell r="Z1962">
            <v>0</v>
          </cell>
        </row>
        <row r="1963">
          <cell r="T1963">
            <v>0</v>
          </cell>
          <cell r="Z1963">
            <v>0</v>
          </cell>
        </row>
        <row r="1964">
          <cell r="T1964">
            <v>0</v>
          </cell>
          <cell r="Z1964">
            <v>0</v>
          </cell>
        </row>
        <row r="1965">
          <cell r="T1965">
            <v>0</v>
          </cell>
          <cell r="Z1965">
            <v>0</v>
          </cell>
        </row>
        <row r="1966">
          <cell r="T1966">
            <v>0</v>
          </cell>
          <cell r="Z1966">
            <v>0</v>
          </cell>
        </row>
        <row r="1967">
          <cell r="T1967">
            <v>0</v>
          </cell>
          <cell r="Z1967">
            <v>0</v>
          </cell>
        </row>
        <row r="1968">
          <cell r="T1968">
            <v>0</v>
          </cell>
          <cell r="Z1968">
            <v>0</v>
          </cell>
        </row>
        <row r="1969">
          <cell r="T1969">
            <v>0</v>
          </cell>
          <cell r="Z1969">
            <v>0</v>
          </cell>
        </row>
        <row r="1970">
          <cell r="T1970">
            <v>0</v>
          </cell>
          <cell r="Z1970">
            <v>0</v>
          </cell>
        </row>
        <row r="1971">
          <cell r="T1971">
            <v>0</v>
          </cell>
          <cell r="Z1971">
            <v>0</v>
          </cell>
        </row>
        <row r="1972">
          <cell r="T1972">
            <v>0</v>
          </cell>
          <cell r="Z1972">
            <v>0</v>
          </cell>
        </row>
        <row r="1973">
          <cell r="T1973">
            <v>0</v>
          </cell>
          <cell r="Z1973">
            <v>0</v>
          </cell>
        </row>
        <row r="1974">
          <cell r="T1974">
            <v>0</v>
          </cell>
          <cell r="Z1974">
            <v>0</v>
          </cell>
        </row>
        <row r="1975">
          <cell r="T1975">
            <v>0</v>
          </cell>
          <cell r="Z1975">
            <v>0</v>
          </cell>
        </row>
        <row r="1976">
          <cell r="T1976">
            <v>0</v>
          </cell>
          <cell r="Z1976">
            <v>0</v>
          </cell>
        </row>
        <row r="1977">
          <cell r="T1977">
            <v>0</v>
          </cell>
          <cell r="Z1977">
            <v>0</v>
          </cell>
        </row>
        <row r="1978">
          <cell r="T1978">
            <v>0</v>
          </cell>
          <cell r="Z1978">
            <v>0</v>
          </cell>
        </row>
        <row r="1979">
          <cell r="T1979">
            <v>0</v>
          </cell>
          <cell r="Z1979">
            <v>0</v>
          </cell>
        </row>
        <row r="1980">
          <cell r="T1980">
            <v>0</v>
          </cell>
          <cell r="Z1980">
            <v>0</v>
          </cell>
        </row>
        <row r="1981">
          <cell r="T1981">
            <v>0</v>
          </cell>
          <cell r="Z1981">
            <v>0</v>
          </cell>
        </row>
        <row r="1982">
          <cell r="T1982">
            <v>0</v>
          </cell>
          <cell r="Z1982">
            <v>0</v>
          </cell>
        </row>
        <row r="1983">
          <cell r="T1983">
            <v>0</v>
          </cell>
          <cell r="Z1983">
            <v>0</v>
          </cell>
        </row>
        <row r="1984">
          <cell r="T1984">
            <v>0</v>
          </cell>
          <cell r="Z1984">
            <v>0</v>
          </cell>
        </row>
        <row r="1985">
          <cell r="T1985">
            <v>0</v>
          </cell>
          <cell r="Z1985">
            <v>0</v>
          </cell>
        </row>
        <row r="1986">
          <cell r="T1986">
            <v>0</v>
          </cell>
          <cell r="Z1986">
            <v>0</v>
          </cell>
        </row>
        <row r="1987">
          <cell r="T1987">
            <v>0</v>
          </cell>
          <cell r="Z1987">
            <v>0</v>
          </cell>
        </row>
        <row r="1988">
          <cell r="T1988">
            <v>0</v>
          </cell>
          <cell r="Z1988">
            <v>0</v>
          </cell>
        </row>
        <row r="1989">
          <cell r="T1989">
            <v>0</v>
          </cell>
          <cell r="Z1989">
            <v>0</v>
          </cell>
        </row>
        <row r="1990">
          <cell r="T1990">
            <v>0</v>
          </cell>
          <cell r="Z1990">
            <v>0</v>
          </cell>
        </row>
        <row r="1991">
          <cell r="T1991">
            <v>0</v>
          </cell>
          <cell r="Z1991">
            <v>0</v>
          </cell>
        </row>
        <row r="1992">
          <cell r="T1992">
            <v>0</v>
          </cell>
          <cell r="Z1992">
            <v>0</v>
          </cell>
        </row>
        <row r="1993">
          <cell r="T1993">
            <v>0</v>
          </cell>
          <cell r="Z1993">
            <v>0</v>
          </cell>
        </row>
        <row r="1994">
          <cell r="T1994">
            <v>0</v>
          </cell>
          <cell r="Z1994">
            <v>0</v>
          </cell>
        </row>
        <row r="1995">
          <cell r="T1995">
            <v>0</v>
          </cell>
          <cell r="Z1995">
            <v>0</v>
          </cell>
        </row>
        <row r="1996">
          <cell r="T1996">
            <v>0</v>
          </cell>
          <cell r="Z1996">
            <v>0</v>
          </cell>
        </row>
        <row r="1997">
          <cell r="T1997">
            <v>0</v>
          </cell>
          <cell r="Z1997">
            <v>0</v>
          </cell>
        </row>
        <row r="1998">
          <cell r="T1998">
            <v>0</v>
          </cell>
          <cell r="Z1998">
            <v>0</v>
          </cell>
        </row>
        <row r="1999">
          <cell r="T1999">
            <v>0</v>
          </cell>
          <cell r="Z1999">
            <v>0</v>
          </cell>
        </row>
        <row r="2000">
          <cell r="T2000">
            <v>0</v>
          </cell>
          <cell r="Z2000">
            <v>0</v>
          </cell>
        </row>
      </sheetData>
      <sheetData sheetId="3">
        <row r="7">
          <cell r="B7" t="str">
            <v>222_DHKT17BTT_01</v>
          </cell>
        </row>
        <row r="8">
          <cell r="B8" t="str">
            <v>222_DHKT17BTT_02</v>
          </cell>
        </row>
        <row r="9">
          <cell r="B9" t="str">
            <v>222_DHKT17BTT_03</v>
          </cell>
        </row>
        <row r="10">
          <cell r="B10" t="str">
            <v>222_DHKT17BTT_04</v>
          </cell>
        </row>
        <row r="11">
          <cell r="B11" t="str">
            <v>222_DHKT17BTT_05</v>
          </cell>
        </row>
        <row r="12">
          <cell r="B12" t="str">
            <v>222_DHKT17BTT_06</v>
          </cell>
        </row>
        <row r="13">
          <cell r="B13" t="str">
            <v>222_DHKT17BTT_07</v>
          </cell>
        </row>
        <row r="14">
          <cell r="B14" t="str">
            <v>222_DHKT17C_1</v>
          </cell>
        </row>
        <row r="15">
          <cell r="B15" t="str">
            <v>222_DHKT17C_11</v>
          </cell>
        </row>
        <row r="16">
          <cell r="B16" t="str">
            <v>222_DHKT17C_113</v>
          </cell>
        </row>
        <row r="17">
          <cell r="B17" t="str">
            <v>222_DHKT17C_4</v>
          </cell>
        </row>
        <row r="18">
          <cell r="B18" t="str">
            <v>222_DHKT17C_5</v>
          </cell>
        </row>
        <row r="19">
          <cell r="B19" t="str">
            <v>222_DHKT17C_6</v>
          </cell>
        </row>
        <row r="20">
          <cell r="B20" t="str">
            <v>222_DHKT17C_7</v>
          </cell>
        </row>
        <row r="21">
          <cell r="B21" t="str">
            <v>222_DHKT17C_Flames</v>
          </cell>
        </row>
        <row r="22">
          <cell r="B22" t="str">
            <v>222_DHKT17C_Higirl</v>
          </cell>
        </row>
        <row r="23">
          <cell r="B23" t="str">
            <v>222_DHKT17CTT_10</v>
          </cell>
        </row>
        <row r="24">
          <cell r="B24" t="str">
            <v>222_DHKT17CTT_3</v>
          </cell>
        </row>
        <row r="25">
          <cell r="B25" t="str">
            <v>222_DHKT17CTT_4</v>
          </cell>
        </row>
        <row r="26">
          <cell r="B26" t="str">
            <v>222_DHKT17CTT_5</v>
          </cell>
        </row>
        <row r="27">
          <cell r="B27" t="str">
            <v>222_DHKT17CTT_9</v>
          </cell>
        </row>
        <row r="28">
          <cell r="B28" t="str">
            <v>222_DHKTKT17A_102</v>
          </cell>
        </row>
        <row r="29">
          <cell r="B29" t="str">
            <v>222_DHKTKT17A_2</v>
          </cell>
        </row>
        <row r="30">
          <cell r="B30" t="str">
            <v>222_DHKTKT17A_5</v>
          </cell>
        </row>
        <row r="31">
          <cell r="B31" t="str">
            <v>222_DHKTKT17A_8</v>
          </cell>
        </row>
        <row r="32">
          <cell r="B32" t="str">
            <v>222_DHKTKT17A_9conbaothu</v>
          </cell>
        </row>
        <row r="33">
          <cell r="B33" t="str">
            <v>222_DHKTKT17A_conheobietbay</v>
          </cell>
        </row>
        <row r="34">
          <cell r="B34" t="str">
            <v>222_DHKTKT17A_doanket</v>
          </cell>
        </row>
        <row r="35">
          <cell r="B35" t="str">
            <v>222_DHKTKT17A_nhom9999</v>
          </cell>
        </row>
        <row r="36">
          <cell r="B36" t="str">
            <v>222_DHKTKT17A_nhomtam</v>
          </cell>
        </row>
        <row r="37">
          <cell r="B37" t="str">
            <v>222_DHKTKT17A_sauanhemsiunhan</v>
          </cell>
        </row>
        <row r="38">
          <cell r="B38" t="str">
            <v>222_DHKTKT17C_01</v>
          </cell>
        </row>
        <row r="39">
          <cell r="B39" t="str">
            <v>222_DHKTKT17C_02</v>
          </cell>
        </row>
        <row r="40">
          <cell r="B40" t="str">
            <v>222_DHKTKT17C_03</v>
          </cell>
        </row>
        <row r="41">
          <cell r="B41" t="str">
            <v>222_DHKTKT17C_04</v>
          </cell>
        </row>
        <row r="42">
          <cell r="B42" t="str">
            <v>222_DHKTKT17C_05</v>
          </cell>
        </row>
        <row r="43">
          <cell r="B43" t="str">
            <v>222_DHKTKT17C_06</v>
          </cell>
        </row>
        <row r="44">
          <cell r="B44" t="str">
            <v>222_DHKTKT17C_07</v>
          </cell>
        </row>
        <row r="45">
          <cell r="B45" t="str">
            <v>222_DHKTKT17C_08</v>
          </cell>
        </row>
        <row r="46">
          <cell r="B46" t="str">
            <v>222_DHKTKT17C_09</v>
          </cell>
        </row>
        <row r="47">
          <cell r="B47" t="str">
            <v>222_DHKT17B_01</v>
          </cell>
        </row>
        <row r="48">
          <cell r="B48" t="str">
            <v>222_DHKT17B_02</v>
          </cell>
        </row>
        <row r="49">
          <cell r="B49" t="str">
            <v>222_DHKT17B_03</v>
          </cell>
        </row>
        <row r="50">
          <cell r="B50" t="str">
            <v>222_DHKT17B_04</v>
          </cell>
        </row>
        <row r="51">
          <cell r="B51" t="str">
            <v>222_DHKT17B_05</v>
          </cell>
        </row>
        <row r="52">
          <cell r="B52" t="str">
            <v>222_DHKT17B_06</v>
          </cell>
        </row>
        <row r="53">
          <cell r="B53" t="str">
            <v>222_DHKT17B_07</v>
          </cell>
        </row>
        <row r="54">
          <cell r="B54" t="str">
            <v>222_DHKT17B_08</v>
          </cell>
        </row>
        <row r="55">
          <cell r="B55" t="str">
            <v>222_DHKT17B_09</v>
          </cell>
        </row>
        <row r="56">
          <cell r="B56" t="str">
            <v>222_DHKTKT17ATT_01</v>
          </cell>
        </row>
        <row r="57">
          <cell r="B57" t="str">
            <v>222_DHKTKT17ATT_02</v>
          </cell>
        </row>
        <row r="58">
          <cell r="B58" t="str">
            <v>222_DHKTKT17ATT_03</v>
          </cell>
        </row>
        <row r="59">
          <cell r="B59" t="str">
            <v>222_DHKTKT17ATT_04</v>
          </cell>
        </row>
        <row r="60">
          <cell r="B60" t="str">
            <v>222_DHKTKT17ATT_05</v>
          </cell>
        </row>
        <row r="61">
          <cell r="B61" t="str">
            <v>222_DHKTKT17ATT_06</v>
          </cell>
        </row>
        <row r="62">
          <cell r="B62" t="str">
            <v>222_DHKTKT17BTT_01</v>
          </cell>
        </row>
        <row r="63">
          <cell r="B63" t="str">
            <v>222_DHKTKT17BTT_02</v>
          </cell>
        </row>
        <row r="64">
          <cell r="B64" t="str">
            <v>222_DHKTKT17BTT_03</v>
          </cell>
        </row>
        <row r="65">
          <cell r="B65" t="str">
            <v>222_DHKTKT17BTT_04</v>
          </cell>
        </row>
        <row r="66">
          <cell r="B66" t="str">
            <v>222_DHKT17ATT_01</v>
          </cell>
        </row>
        <row r="67">
          <cell r="B67" t="str">
            <v>222_DHKT17ATT_02</v>
          </cell>
        </row>
        <row r="68">
          <cell r="B68" t="str">
            <v>222_DHKT17ATT_03</v>
          </cell>
        </row>
        <row r="69">
          <cell r="B69" t="str">
            <v>222_DHKT17ATT_04</v>
          </cell>
        </row>
        <row r="70">
          <cell r="B70" t="str">
            <v>222_DHKT17ATT_05</v>
          </cell>
        </row>
        <row r="71">
          <cell r="B71" t="str">
            <v>222_DHKT17ATT_06</v>
          </cell>
        </row>
        <row r="72">
          <cell r="B72" t="str">
            <v>222_DHKT17ATT_07</v>
          </cell>
        </row>
        <row r="73">
          <cell r="B73" t="str">
            <v>222_DHKT17E_02</v>
          </cell>
        </row>
        <row r="74">
          <cell r="B74" t="str">
            <v>222_DHKT17E_03</v>
          </cell>
        </row>
        <row r="75">
          <cell r="B75" t="str">
            <v>222_DHKT17E_04</v>
          </cell>
        </row>
        <row r="76">
          <cell r="B76" t="str">
            <v>222_DHKT17E_05</v>
          </cell>
        </row>
        <row r="77">
          <cell r="B77" t="str">
            <v>222_DHKT17E_06</v>
          </cell>
        </row>
        <row r="78">
          <cell r="B78" t="str">
            <v>222_DHKT17E_07</v>
          </cell>
        </row>
        <row r="79">
          <cell r="B79" t="str">
            <v>222_DHKT17E_08</v>
          </cell>
        </row>
        <row r="80">
          <cell r="B80" t="str">
            <v>222_DHKT17E_09</v>
          </cell>
        </row>
        <row r="81">
          <cell r="B81" t="str">
            <v>222_DHKT17E_10</v>
          </cell>
        </row>
        <row r="82">
          <cell r="B82" t="str">
            <v>222_DHKT17E_11</v>
          </cell>
        </row>
        <row r="83">
          <cell r="B83" t="str">
            <v>222_DHKT17F_01</v>
          </cell>
        </row>
        <row r="84">
          <cell r="B84" t="str">
            <v>222_DHKT17F_02</v>
          </cell>
        </row>
        <row r="85">
          <cell r="B85" t="str">
            <v>222_DHKT17F_03</v>
          </cell>
        </row>
        <row r="86">
          <cell r="B86" t="str">
            <v>222_DHKT17F_04</v>
          </cell>
        </row>
        <row r="87">
          <cell r="B87" t="str">
            <v>222_DHKT17F_05</v>
          </cell>
        </row>
        <row r="88">
          <cell r="B88" t="str">
            <v>222_DHKT17F_06</v>
          </cell>
        </row>
        <row r="89">
          <cell r="B89" t="str">
            <v>222_DHKT17F_07</v>
          </cell>
        </row>
        <row r="90">
          <cell r="B90" t="str">
            <v>222_DHKT17F_08</v>
          </cell>
        </row>
        <row r="91">
          <cell r="B91" t="str">
            <v>222_DHKT17F_09</v>
          </cell>
        </row>
        <row r="92">
          <cell r="B92" t="str">
            <v>222_DHKT17F_10</v>
          </cell>
        </row>
        <row r="93">
          <cell r="B93" t="str">
            <v>222_DHKT17F_11</v>
          </cell>
        </row>
        <row r="94">
          <cell r="B94" t="str">
            <v>222_DHKT17F_12</v>
          </cell>
        </row>
        <row r="95">
          <cell r="B95" t="str">
            <v>222_DHKT17G_01</v>
          </cell>
        </row>
        <row r="96">
          <cell r="B96" t="str">
            <v>222_DHKT17G_02</v>
          </cell>
        </row>
        <row r="97">
          <cell r="B97" t="str">
            <v>222_DHKT17G_03</v>
          </cell>
        </row>
        <row r="98">
          <cell r="B98" t="str">
            <v>222_DHKT17G_04</v>
          </cell>
        </row>
        <row r="99">
          <cell r="B99" t="str">
            <v>222_DHKT17G_05</v>
          </cell>
        </row>
        <row r="100">
          <cell r="B100" t="str">
            <v>222_DHKT17G_06</v>
          </cell>
        </row>
        <row r="101">
          <cell r="B101" t="str">
            <v>222_DHKT17G_07</v>
          </cell>
        </row>
        <row r="102">
          <cell r="B102" t="str">
            <v>222_DHKT17G_08</v>
          </cell>
        </row>
        <row r="103">
          <cell r="B103" t="str">
            <v>222_DHKT17A_01</v>
          </cell>
        </row>
        <row r="104">
          <cell r="B104" t="str">
            <v>222_DHKT17A_02</v>
          </cell>
        </row>
        <row r="105">
          <cell r="B105" t="str">
            <v>222_DHKT17A_03</v>
          </cell>
        </row>
        <row r="106">
          <cell r="B106" t="str">
            <v>222_DHKT17A_04</v>
          </cell>
        </row>
        <row r="107">
          <cell r="B107" t="str">
            <v>222_DHKT17A_05</v>
          </cell>
        </row>
        <row r="108">
          <cell r="B108" t="str">
            <v>222_DHKT17A_06</v>
          </cell>
        </row>
        <row r="109">
          <cell r="B109" t="str">
            <v>222_DHKT17A_07</v>
          </cell>
        </row>
        <row r="110">
          <cell r="B110" t="str">
            <v>222_DHKT17A_08</v>
          </cell>
        </row>
        <row r="111">
          <cell r="B111" t="str">
            <v>222_DHKT17A_09</v>
          </cell>
        </row>
        <row r="112">
          <cell r="B112" t="str">
            <v>222_DHKT17A_10</v>
          </cell>
        </row>
        <row r="113">
          <cell r="B113" t="str">
            <v>222_DHKT17A_11</v>
          </cell>
        </row>
        <row r="114">
          <cell r="B114" t="str">
            <v>222_DHKTKT17D_01</v>
          </cell>
        </row>
        <row r="115">
          <cell r="B115" t="str">
            <v>222_DHKTKT17D_02</v>
          </cell>
        </row>
        <row r="116">
          <cell r="B116" t="str">
            <v>222_DHKTKT17D_03</v>
          </cell>
        </row>
        <row r="117">
          <cell r="B117" t="str">
            <v>222_DHKTKT17D_04</v>
          </cell>
        </row>
        <row r="118">
          <cell r="B118" t="str">
            <v>222_DHKTKT17D_05</v>
          </cell>
        </row>
        <row r="119">
          <cell r="B119" t="str">
            <v>222_DHKTKT17D_06</v>
          </cell>
        </row>
        <row r="120">
          <cell r="B120" t="str">
            <v>222_DHKTKT17D_07</v>
          </cell>
        </row>
        <row r="121">
          <cell r="B121" t="str">
            <v>222_DHKTKT17D_08</v>
          </cell>
        </row>
        <row r="122">
          <cell r="B122" t="str">
            <v>222_DHKTKT17D_09</v>
          </cell>
        </row>
        <row r="123">
          <cell r="B123" t="str">
            <v>222_DHKTKT17D_10</v>
          </cell>
        </row>
        <row r="124">
          <cell r="B124" t="str">
            <v>222_DHKT17DTT_01</v>
          </cell>
        </row>
        <row r="125">
          <cell r="B125" t="str">
            <v>222_DHKT17DTT_02</v>
          </cell>
        </row>
        <row r="126">
          <cell r="B126" t="str">
            <v>222_DHKTKT17B_01</v>
          </cell>
        </row>
        <row r="127">
          <cell r="B127" t="str">
            <v>222_DHKTKT17B_02</v>
          </cell>
        </row>
        <row r="128">
          <cell r="B128" t="str">
            <v>222_DHKTKT17B_03</v>
          </cell>
        </row>
        <row r="129">
          <cell r="B129" t="str">
            <v>222_DHKTKT17B_04</v>
          </cell>
        </row>
        <row r="130">
          <cell r="B130" t="str">
            <v>222_DHKTKT17B_05</v>
          </cell>
        </row>
        <row r="131">
          <cell r="B131" t="str">
            <v>222_DHKTKT17B_06</v>
          </cell>
        </row>
        <row r="132">
          <cell r="B132" t="str">
            <v>222_DHKTKT17B_07</v>
          </cell>
        </row>
        <row r="133">
          <cell r="B133" t="str">
            <v>222_DHKTKT17B_08</v>
          </cell>
        </row>
        <row r="134">
          <cell r="B134" t="str">
            <v>222_DHKTKT17B_09</v>
          </cell>
        </row>
        <row r="135">
          <cell r="B135" t="str">
            <v>222_DHKTKT17B_10</v>
          </cell>
        </row>
        <row r="136">
          <cell r="B136" t="str">
            <v>222_DHKTKT17B_11</v>
          </cell>
        </row>
        <row r="137">
          <cell r="B137" t="str">
            <v>222_DHKTKT17B_12</v>
          </cell>
        </row>
        <row r="138">
          <cell r="B138" t="str">
            <v>222_DHKTKT17B_13</v>
          </cell>
        </row>
        <row r="139">
          <cell r="B139" t="str">
            <v>222_DHKTKT17B_14</v>
          </cell>
        </row>
        <row r="140">
          <cell r="B140" t="str">
            <v>222_DHKTKT17B_15</v>
          </cell>
        </row>
        <row r="141">
          <cell r="B141" t="str">
            <v>222_DHKT17D_01</v>
          </cell>
        </row>
        <row r="142">
          <cell r="B142" t="str">
            <v>222_DHKT17D_02</v>
          </cell>
        </row>
        <row r="143">
          <cell r="B143" t="str">
            <v>222_DHKT17D_03</v>
          </cell>
        </row>
        <row r="144">
          <cell r="B144" t="str">
            <v>222_DHKT17D_04</v>
          </cell>
        </row>
        <row r="145">
          <cell r="B145" t="str">
            <v>222_DHKT17D_05</v>
          </cell>
        </row>
        <row r="146">
          <cell r="B146" t="str">
            <v>222_DHKT17D_06</v>
          </cell>
        </row>
        <row r="147">
          <cell r="B147" t="str">
            <v>222_DHKT17D_07</v>
          </cell>
        </row>
        <row r="148">
          <cell r="B148" t="str">
            <v>222_DHKT17D_08</v>
          </cell>
        </row>
        <row r="149">
          <cell r="B149" t="str">
            <v>222_DHKT17D_09</v>
          </cell>
        </row>
        <row r="150">
          <cell r="B150" t="str">
            <v>222_DHKT17D_10</v>
          </cell>
        </row>
        <row r="151">
          <cell r="B151" t="str">
            <v>222_DHKT17D_11</v>
          </cell>
        </row>
        <row r="152">
          <cell r="B152" t="str">
            <v>222_DHKT17D_12</v>
          </cell>
        </row>
        <row r="153">
          <cell r="B153" t="str">
            <v>222_DHKT17D_13</v>
          </cell>
        </row>
        <row r="154">
          <cell r="B154" t="str">
            <v>222_DHKT17D_14</v>
          </cell>
        </row>
        <row r="155">
          <cell r="B155" t="str">
            <v>222_DHKT17D_15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yVan"/>
  <dimension ref="A1:G20"/>
  <sheetViews>
    <sheetView zoomScaleNormal="100" workbookViewId="0">
      <selection activeCell="H9" sqref="H9"/>
    </sheetView>
  </sheetViews>
  <sheetFormatPr defaultColWidth="9.140625" defaultRowHeight="18.75" x14ac:dyDescent="0.35"/>
  <cols>
    <col min="1" max="1" width="37.42578125" style="1" bestFit="1" customWidth="1"/>
    <col min="2" max="2" width="38.140625" style="1" customWidth="1"/>
    <col min="3" max="3" width="25.42578125" style="1" bestFit="1" customWidth="1"/>
    <col min="4" max="4" width="12.140625" style="1" bestFit="1" customWidth="1"/>
    <col min="5" max="5" width="15.42578125" style="1" bestFit="1" customWidth="1"/>
    <col min="6" max="6" width="27.140625" style="1" bestFit="1" customWidth="1"/>
    <col min="7" max="16384" width="9.140625" style="1"/>
  </cols>
  <sheetData>
    <row r="1" spans="1:7" ht="22.5" x14ac:dyDescent="0.4">
      <c r="A1" s="7" t="s">
        <v>20</v>
      </c>
    </row>
    <row r="2" spans="1:7" x14ac:dyDescent="0.35">
      <c r="A2" s="3" t="s">
        <v>0</v>
      </c>
      <c r="B2" s="1" t="s">
        <v>403</v>
      </c>
    </row>
    <row r="3" spans="1:7" x14ac:dyDescent="0.35">
      <c r="A3" s="3" t="s">
        <v>1</v>
      </c>
      <c r="B3" s="1" t="s">
        <v>4</v>
      </c>
      <c r="C3" s="3" t="s">
        <v>5</v>
      </c>
      <c r="D3" s="5" t="s">
        <v>11</v>
      </c>
      <c r="E3" s="4" t="str">
        <f>LEFT(D3,LEN(D3)-4)&amp;"_log.sld"</f>
        <v>quan_log.sld</v>
      </c>
      <c r="F3" s="3" t="s">
        <v>6</v>
      </c>
      <c r="G3" s="6" t="s">
        <v>12</v>
      </c>
    </row>
    <row r="4" spans="1:7" x14ac:dyDescent="0.35">
      <c r="A4" s="3" t="s">
        <v>2</v>
      </c>
      <c r="B4" s="1" t="str">
        <f>"CREATE DATABASE "&amp;B3&amp;" ON (FILENAME = '"&amp;D3&amp;"'),     (FILENAME = '"&amp;E3&amp;"')     FOR ATTACH; "</f>
        <v xml:space="preserve">CREATE DATABASE Quan ON (FILENAME = 'quan.smd'),     (FILENAME = 'quan_log.sld')     FOR ATTACH; </v>
      </c>
    </row>
    <row r="5" spans="1:7" x14ac:dyDescent="0.35">
      <c r="A5" s="3" t="s">
        <v>3</v>
      </c>
      <c r="B5" s="1" t="str">
        <f>"EXEC sp_detach_db '"&amp;B3&amp;"', 'true'"</f>
        <v>EXEC sp_detach_db 'Quan', 'true'</v>
      </c>
      <c r="C5" s="1" t="s">
        <v>77</v>
      </c>
      <c r="D5" s="1" t="s">
        <v>78</v>
      </c>
    </row>
    <row r="6" spans="1:7" x14ac:dyDescent="0.35">
      <c r="A6" s="3" t="s">
        <v>7</v>
      </c>
      <c r="B6" s="1" t="str">
        <f>"RESTORE DATABASE "&amp;B3&amp;" FROM DISK = N'"&amp;G3&amp;"' WITH FILE = 1, MOVE N'"&amp;B7&amp;"' TO N'"&amp;D7&amp;"\BaiTap1.mdf',MOVE N'"&amp;B8&amp;"' TO N'"&amp;D8&amp;"\BaiTap1Log.ndf',NOUNLOAD, REPLACE, STATS = 10"</f>
        <v>RESTORE DATABASE Quan FROM DISK = N'D:\Works\Projects\BaiTap1.mbk' WITH FILE = 1, MOVE N'MISASME2015' TO N'D:\BaiTap1.mdf',MOVE N'MISASME2015_Log' TO N'D:\BaiTap1Log.ndf',NOUNLOAD, REPLACE, STATS = 10</v>
      </c>
      <c r="F6" s="2"/>
      <c r="G6" s="2"/>
    </row>
    <row r="7" spans="1:7" x14ac:dyDescent="0.35">
      <c r="A7" s="3" t="s">
        <v>105</v>
      </c>
      <c r="B7" s="1" t="s">
        <v>13</v>
      </c>
      <c r="C7" s="3" t="s">
        <v>9</v>
      </c>
      <c r="D7" s="1" t="s">
        <v>14</v>
      </c>
      <c r="E7" s="3" t="s">
        <v>104</v>
      </c>
      <c r="F7" s="2" t="s">
        <v>156</v>
      </c>
      <c r="G7" s="2"/>
    </row>
    <row r="8" spans="1:7" x14ac:dyDescent="0.35">
      <c r="A8" s="3" t="s">
        <v>8</v>
      </c>
      <c r="B8" s="1" t="s">
        <v>15</v>
      </c>
      <c r="C8" s="3" t="s">
        <v>10</v>
      </c>
      <c r="D8" s="1" t="s">
        <v>14</v>
      </c>
      <c r="F8" s="2"/>
      <c r="G8" s="2"/>
    </row>
    <row r="9" spans="1:7" x14ac:dyDescent="0.35">
      <c r="F9" s="2"/>
      <c r="G9" s="2"/>
    </row>
    <row r="10" spans="1:7" ht="22.5" x14ac:dyDescent="0.4">
      <c r="A10" s="7" t="s">
        <v>16</v>
      </c>
      <c r="F10" s="2"/>
      <c r="G10" s="2"/>
    </row>
    <row r="11" spans="1:7" x14ac:dyDescent="0.35">
      <c r="A11" s="3" t="s">
        <v>103</v>
      </c>
      <c r="B11" s="1" t="s">
        <v>109</v>
      </c>
      <c r="F11" s="2"/>
      <c r="G11" s="2"/>
    </row>
    <row r="12" spans="1:7" x14ac:dyDescent="0.35">
      <c r="A12" s="3" t="s">
        <v>17</v>
      </c>
      <c r="B12" s="1" t="s">
        <v>82</v>
      </c>
      <c r="F12" s="2"/>
      <c r="G12" s="2"/>
    </row>
    <row r="13" spans="1:7" x14ac:dyDescent="0.35">
      <c r="A13" s="3" t="s">
        <v>18</v>
      </c>
      <c r="B13" s="1" t="s">
        <v>101</v>
      </c>
      <c r="F13" s="2"/>
      <c r="G13" s="2"/>
    </row>
    <row r="14" spans="1:7" x14ac:dyDescent="0.35">
      <c r="A14" s="3" t="s">
        <v>19</v>
      </c>
      <c r="B14" s="1" t="s">
        <v>84</v>
      </c>
      <c r="F14" s="2"/>
      <c r="G14" s="2"/>
    </row>
    <row r="15" spans="1:7" x14ac:dyDescent="0.35">
      <c r="A15" s="3" t="s">
        <v>21</v>
      </c>
      <c r="B15" s="1" t="s">
        <v>107</v>
      </c>
      <c r="F15" s="2"/>
      <c r="G15" s="2"/>
    </row>
    <row r="16" spans="1:7" x14ac:dyDescent="0.35">
      <c r="A16" s="3" t="s">
        <v>81</v>
      </c>
      <c r="B16" s="1" t="s">
        <v>100</v>
      </c>
      <c r="F16" s="2"/>
      <c r="G16" s="2"/>
    </row>
    <row r="17" spans="1:2" x14ac:dyDescent="0.35">
      <c r="B17" s="1" t="s">
        <v>110</v>
      </c>
    </row>
    <row r="18" spans="1:2" ht="22.5" x14ac:dyDescent="0.4">
      <c r="A18" s="7" t="s">
        <v>83</v>
      </c>
    </row>
    <row r="19" spans="1:2" x14ac:dyDescent="0.35">
      <c r="B19" s="1" t="str">
        <f>"Driver={SQL Server Native Client 11.0};Server="&amp;B2&amp;";Database=master;Trusted_Connection=yes;"</f>
        <v>Driver={SQL Server Native Client 11.0};Server=TTMP,12\TH;Database=master;Trusted_Connection=yes;</v>
      </c>
    </row>
    <row r="20" spans="1:2" x14ac:dyDescent="0.35">
      <c r="A20" s="1" t="s">
        <v>97</v>
      </c>
      <c r="B20" s="1" t="s">
        <v>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nectSqlServer">
                <anchor moveWithCells="1" sizeWithCells="1">
                  <from>
                    <xdr:col>14</xdr:col>
                    <xdr:colOff>200025</xdr:colOff>
                    <xdr:row>1</xdr:row>
                    <xdr:rowOff>76200</xdr:rowOff>
                  </from>
                  <to>
                    <xdr:col>15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pAn"/>
  <dimension ref="A1:V131"/>
  <sheetViews>
    <sheetView workbookViewId="0">
      <selection activeCell="B1" sqref="B1:B5"/>
    </sheetView>
  </sheetViews>
  <sheetFormatPr defaultColWidth="9.140625" defaultRowHeight="21" x14ac:dyDescent="0.4"/>
  <cols>
    <col min="1" max="1" width="25.140625" style="9" bestFit="1" customWidth="1"/>
    <col min="2" max="2" width="21" style="9" customWidth="1"/>
    <col min="3" max="3" width="22.5703125" style="9" bestFit="1" customWidth="1"/>
    <col min="4" max="4" width="30.85546875" style="9" bestFit="1" customWidth="1"/>
    <col min="5" max="5" width="32.5703125" style="9" customWidth="1"/>
    <col min="6" max="6" width="18.42578125" style="9" customWidth="1"/>
    <col min="7" max="7" width="18" style="9" customWidth="1"/>
    <col min="8" max="8" width="21.42578125" style="9" bestFit="1" customWidth="1"/>
    <col min="9" max="9" width="10.5703125" style="9" bestFit="1" customWidth="1"/>
    <col min="10" max="10" width="15.5703125" style="9" bestFit="1" customWidth="1"/>
    <col min="11" max="11" width="18.5703125" style="9" bestFit="1" customWidth="1"/>
    <col min="12" max="12" width="15.5703125" style="9" bestFit="1" customWidth="1"/>
    <col min="13" max="13" width="18.140625" style="9" bestFit="1" customWidth="1"/>
    <col min="14" max="14" width="17.5703125" style="9" bestFit="1" customWidth="1"/>
    <col min="15" max="15" width="17.5703125" style="9" customWidth="1"/>
    <col min="16" max="16" width="8.42578125" style="9" bestFit="1" customWidth="1"/>
    <col min="17" max="18" width="21.140625" style="9" bestFit="1" customWidth="1"/>
    <col min="19" max="19" width="11.85546875" style="9" bestFit="1" customWidth="1"/>
    <col min="20" max="20" width="10.5703125" style="9" bestFit="1" customWidth="1"/>
    <col min="21" max="21" width="12.140625" style="9" bestFit="1" customWidth="1"/>
    <col min="22" max="22" width="18" style="9" bestFit="1" customWidth="1"/>
    <col min="23" max="16384" width="9.140625" style="9"/>
  </cols>
  <sheetData>
    <row r="1" spans="1:22" x14ac:dyDescent="0.4">
      <c r="A1" s="11" t="s">
        <v>22</v>
      </c>
      <c r="B1" s="12">
        <v>10</v>
      </c>
      <c r="D1" s="10" t="s">
        <v>24</v>
      </c>
      <c r="E1" s="13" t="s">
        <v>392</v>
      </c>
      <c r="F1" s="16"/>
    </row>
    <row r="2" spans="1:22" x14ac:dyDescent="0.4">
      <c r="A2" s="11" t="s">
        <v>92</v>
      </c>
      <c r="B2" s="12">
        <v>5</v>
      </c>
      <c r="D2" s="10" t="s">
        <v>76</v>
      </c>
      <c r="E2" s="17" t="str">
        <f>"RESTORE DATABASE DapAn FROM DISK = N'"&amp;E1&amp;"' WITH FILE = 1, MOVE N'"&amp;TruyVan!B7&amp;"' TO N'"&amp;SUBSTITUTE(E1,"mbk","mdf")&amp;"',MOVE N'"&amp;TruyVan!B8&amp;"' TO N'"&amp;SUBSTITUTE(E1,"mbk","ldf")&amp;"',NOUNLOAD, REPLACE"</f>
        <v>RESTORE DATABASE DapAn FROM DISK = N'C:\Data\MISA Data\MC22\DapAn.smd' WITH FILE = 1, MOVE N'MISASME2015' TO N'C:\Data\MISA Data\MC22\DapAn.smd',MOVE N'MISASME2015_Log' TO N'C:\Data\MISA Data\MC22\DapAn.smd',NOUNLOAD, REPLACE</v>
      </c>
    </row>
    <row r="3" spans="1:22" x14ac:dyDescent="0.4">
      <c r="A3" s="11" t="s">
        <v>73</v>
      </c>
      <c r="B3" s="12">
        <v>25</v>
      </c>
      <c r="D3" s="10" t="s">
        <v>25</v>
      </c>
      <c r="E3" s="9" t="str">
        <f>"CREATE DATABASE DapAn ON (FILENAME = '"&amp;E1&amp;"') FOR ATTACH_REBUILD_LOG; "</f>
        <v xml:space="preserve">CREATE DATABASE DapAn ON (FILENAME = 'C:\Data\MISA Data\MC22\DapAn.smd') FOR ATTACH_REBUILD_LOG; </v>
      </c>
    </row>
    <row r="4" spans="1:22" x14ac:dyDescent="0.4">
      <c r="A4" s="11" t="s">
        <v>23</v>
      </c>
      <c r="B4" s="12">
        <v>55</v>
      </c>
      <c r="D4" s="10" t="s">
        <v>26</v>
      </c>
      <c r="E4" s="9" t="str">
        <f>"EXEC sp_detach_db 'DapAn', 'true'"</f>
        <v>EXEC sp_detach_db 'DapAn', 'true'</v>
      </c>
    </row>
    <row r="5" spans="1:22" x14ac:dyDescent="0.4">
      <c r="A5" s="11" t="s">
        <v>74</v>
      </c>
      <c r="B5" s="12">
        <v>5</v>
      </c>
      <c r="D5" s="10" t="s">
        <v>79</v>
      </c>
      <c r="E5" s="9" t="s">
        <v>123</v>
      </c>
      <c r="F5" s="9" t="s">
        <v>144</v>
      </c>
    </row>
    <row r="6" spans="1:22" x14ac:dyDescent="0.4">
      <c r="D6" s="10" t="s">
        <v>91</v>
      </c>
      <c r="E6" s="9" t="s">
        <v>124</v>
      </c>
      <c r="H6" s="9">
        <f t="shared" ref="H6" si="0">COUNTA(H8:H5000)</f>
        <v>2</v>
      </c>
      <c r="M6" s="9">
        <f>COUNTA(M8:M5000)</f>
        <v>22</v>
      </c>
      <c r="R6" s="9">
        <f>COUNTA(R8:R5000)</f>
        <v>33</v>
      </c>
      <c r="U6" s="9">
        <f>COUNTA(U8:U5000)</f>
        <v>27</v>
      </c>
    </row>
    <row r="7" spans="1:22" x14ac:dyDescent="0.4">
      <c r="A7" s="14" t="s">
        <v>63</v>
      </c>
      <c r="B7" s="14" t="s">
        <v>64</v>
      </c>
      <c r="C7" s="14" t="s">
        <v>65</v>
      </c>
      <c r="D7" s="15" t="s">
        <v>67</v>
      </c>
      <c r="E7" s="15" t="s">
        <v>106</v>
      </c>
      <c r="F7" s="15" t="s">
        <v>68</v>
      </c>
      <c r="G7" s="15" t="s">
        <v>69</v>
      </c>
      <c r="H7" s="15" t="s">
        <v>70</v>
      </c>
      <c r="I7" s="19" t="s">
        <v>53</v>
      </c>
      <c r="J7" s="19" t="s">
        <v>54</v>
      </c>
      <c r="K7" s="19" t="s">
        <v>56</v>
      </c>
      <c r="L7" s="19" t="s">
        <v>55</v>
      </c>
      <c r="M7" s="19" t="s">
        <v>57</v>
      </c>
      <c r="N7" s="19" t="s">
        <v>58</v>
      </c>
      <c r="O7" s="20" t="s">
        <v>80</v>
      </c>
      <c r="P7" s="20" t="s">
        <v>59</v>
      </c>
      <c r="Q7" s="20" t="s">
        <v>85</v>
      </c>
      <c r="R7" s="20" t="s">
        <v>86</v>
      </c>
      <c r="S7" s="20" t="s">
        <v>60</v>
      </c>
      <c r="T7" s="38" t="s">
        <v>88</v>
      </c>
      <c r="U7" s="38" t="s">
        <v>89</v>
      </c>
      <c r="V7" s="38" t="s">
        <v>90</v>
      </c>
    </row>
    <row r="8" spans="1:22" x14ac:dyDescent="0.4">
      <c r="A8" s="18">
        <v>8</v>
      </c>
      <c r="B8" s="18">
        <v>45180</v>
      </c>
      <c r="C8" s="9">
        <v>3043750000</v>
      </c>
      <c r="D8" s="9">
        <v>63000000</v>
      </c>
      <c r="E8" s="18">
        <v>63000000</v>
      </c>
      <c r="F8" s="18">
        <v>21000000</v>
      </c>
      <c r="G8" s="9">
        <v>36</v>
      </c>
      <c r="H8" s="18">
        <v>24</v>
      </c>
      <c r="I8" s="18" t="s">
        <v>125</v>
      </c>
      <c r="J8" s="9">
        <v>704093500</v>
      </c>
      <c r="K8" s="9">
        <v>704093500</v>
      </c>
      <c r="L8" s="9">
        <v>0</v>
      </c>
      <c r="M8" s="9">
        <v>0</v>
      </c>
      <c r="N8" s="18">
        <v>0</v>
      </c>
      <c r="O8" s="18">
        <v>103</v>
      </c>
      <c r="P8" s="18" t="s">
        <v>138</v>
      </c>
      <c r="Q8" s="9">
        <v>38840000</v>
      </c>
      <c r="R8" s="9">
        <v>38840000</v>
      </c>
      <c r="S8" s="9">
        <v>0</v>
      </c>
      <c r="T8" s="9" t="s">
        <v>145</v>
      </c>
      <c r="U8" s="18" t="s">
        <v>125</v>
      </c>
      <c r="V8" s="18">
        <v>5263936000</v>
      </c>
    </row>
    <row r="9" spans="1:22" x14ac:dyDescent="0.4">
      <c r="A9" s="18"/>
      <c r="B9" s="18"/>
      <c r="D9" s="9">
        <v>1260000000</v>
      </c>
      <c r="E9" s="18">
        <v>1260000000</v>
      </c>
      <c r="F9" s="18">
        <v>210000000</v>
      </c>
      <c r="G9" s="9">
        <v>72</v>
      </c>
      <c r="H9" s="18">
        <v>60</v>
      </c>
      <c r="I9" s="18" t="s">
        <v>126</v>
      </c>
      <c r="J9" s="9">
        <v>1028000000</v>
      </c>
      <c r="K9" s="9">
        <v>1028000000</v>
      </c>
      <c r="L9" s="9">
        <v>0</v>
      </c>
      <c r="M9" s="9">
        <v>0</v>
      </c>
      <c r="N9" s="18">
        <v>0</v>
      </c>
      <c r="O9" s="18">
        <v>103</v>
      </c>
      <c r="P9" s="18" t="s">
        <v>189</v>
      </c>
      <c r="Q9" s="9">
        <v>388400000</v>
      </c>
      <c r="R9" s="9">
        <v>388400000</v>
      </c>
      <c r="S9" s="18">
        <v>5200</v>
      </c>
      <c r="T9" s="18" t="s">
        <v>145</v>
      </c>
      <c r="U9" s="9" t="s">
        <v>127</v>
      </c>
      <c r="V9" s="9">
        <v>572154000</v>
      </c>
    </row>
    <row r="10" spans="1:22" x14ac:dyDescent="0.4">
      <c r="A10" s="18"/>
      <c r="B10" s="18"/>
      <c r="E10" s="18"/>
      <c r="F10" s="18"/>
      <c r="H10" s="18"/>
      <c r="I10" s="18" t="s">
        <v>126</v>
      </c>
      <c r="J10" s="9">
        <v>2122000000</v>
      </c>
      <c r="K10" s="9">
        <v>2122000000</v>
      </c>
      <c r="L10" s="9">
        <v>0</v>
      </c>
      <c r="M10" s="9">
        <v>0</v>
      </c>
      <c r="N10" s="18">
        <v>0</v>
      </c>
      <c r="O10" s="18">
        <v>103</v>
      </c>
      <c r="P10" s="18" t="s">
        <v>131</v>
      </c>
      <c r="Q10" s="9">
        <v>-427240000</v>
      </c>
      <c r="R10" s="9">
        <v>-427240000</v>
      </c>
      <c r="S10" s="18">
        <v>0</v>
      </c>
      <c r="T10" s="18" t="s">
        <v>145</v>
      </c>
      <c r="U10" s="9" t="s">
        <v>128</v>
      </c>
      <c r="V10" s="9">
        <v>2811750000</v>
      </c>
    </row>
    <row r="11" spans="1:22" x14ac:dyDescent="0.4">
      <c r="A11" s="18"/>
      <c r="B11" s="18"/>
      <c r="E11" s="18"/>
      <c r="F11" s="18"/>
      <c r="H11" s="18"/>
      <c r="I11" s="18" t="s">
        <v>127</v>
      </c>
      <c r="J11" s="9">
        <v>0</v>
      </c>
      <c r="K11" s="9">
        <v>0</v>
      </c>
      <c r="L11" s="9">
        <v>315000000</v>
      </c>
      <c r="M11" s="9">
        <v>315000000</v>
      </c>
      <c r="N11" s="18">
        <v>0</v>
      </c>
      <c r="O11" s="18">
        <v>105</v>
      </c>
      <c r="P11" s="18" t="s">
        <v>126</v>
      </c>
      <c r="Q11" s="9">
        <v>-200000000</v>
      </c>
      <c r="R11" s="9">
        <v>-200000000</v>
      </c>
      <c r="S11" s="9">
        <v>0</v>
      </c>
      <c r="T11" s="9" t="s">
        <v>145</v>
      </c>
      <c r="U11" s="18" t="s">
        <v>146</v>
      </c>
      <c r="V11" s="18">
        <v>5170000000</v>
      </c>
    </row>
    <row r="12" spans="1:22" x14ac:dyDescent="0.4">
      <c r="A12" s="18"/>
      <c r="B12" s="18"/>
      <c r="E12" s="18"/>
      <c r="F12" s="18"/>
      <c r="H12" s="18"/>
      <c r="I12" s="18" t="s">
        <v>127</v>
      </c>
      <c r="J12" s="9">
        <v>572154000</v>
      </c>
      <c r="K12" s="9">
        <v>572154000</v>
      </c>
      <c r="L12" s="9">
        <v>0</v>
      </c>
      <c r="M12" s="9">
        <v>0</v>
      </c>
      <c r="N12" s="18">
        <v>0</v>
      </c>
      <c r="O12" s="18">
        <v>105</v>
      </c>
      <c r="P12" s="18" t="s">
        <v>131</v>
      </c>
      <c r="Q12" s="9">
        <v>200000000</v>
      </c>
      <c r="R12" s="9">
        <v>200000000</v>
      </c>
      <c r="S12" s="18">
        <v>0</v>
      </c>
      <c r="T12" s="18" t="s">
        <v>145</v>
      </c>
      <c r="U12" s="9" t="s">
        <v>129</v>
      </c>
      <c r="V12" s="9">
        <v>147000000</v>
      </c>
    </row>
    <row r="13" spans="1:22" x14ac:dyDescent="0.4">
      <c r="A13" s="18"/>
      <c r="B13" s="18"/>
      <c r="E13" s="18"/>
      <c r="F13" s="18"/>
      <c r="I13" s="9" t="s">
        <v>127</v>
      </c>
      <c r="J13" s="9">
        <v>0</v>
      </c>
      <c r="K13" s="9">
        <v>0</v>
      </c>
      <c r="L13" s="9">
        <v>324000000</v>
      </c>
      <c r="M13" s="9">
        <v>324000000</v>
      </c>
      <c r="N13" s="18">
        <v>0</v>
      </c>
      <c r="O13" s="18">
        <v>107</v>
      </c>
      <c r="P13" s="18" t="s">
        <v>189</v>
      </c>
      <c r="Q13" s="9">
        <v>-620400000</v>
      </c>
      <c r="R13" s="9">
        <v>-620400000</v>
      </c>
      <c r="S13" s="18">
        <v>9200</v>
      </c>
      <c r="T13" s="18" t="s">
        <v>145</v>
      </c>
      <c r="U13" s="9" t="s">
        <v>397</v>
      </c>
      <c r="V13" s="9">
        <v>215000000</v>
      </c>
    </row>
    <row r="14" spans="1:22" x14ac:dyDescent="0.4">
      <c r="A14" s="18"/>
      <c r="B14" s="18"/>
      <c r="E14" s="18"/>
      <c r="F14" s="18"/>
      <c r="I14" s="9" t="s">
        <v>127</v>
      </c>
      <c r="J14" s="9">
        <v>147000000</v>
      </c>
      <c r="K14" s="9">
        <v>147000000</v>
      </c>
      <c r="L14" s="9">
        <v>0</v>
      </c>
      <c r="M14" s="9">
        <v>0</v>
      </c>
      <c r="N14" s="18">
        <v>0</v>
      </c>
      <c r="O14" s="18">
        <v>107</v>
      </c>
      <c r="P14" s="18" t="s">
        <v>136</v>
      </c>
      <c r="Q14" s="9">
        <v>620400000</v>
      </c>
      <c r="R14" s="9">
        <v>620400000</v>
      </c>
      <c r="S14" s="18">
        <v>0</v>
      </c>
      <c r="T14" s="18" t="s">
        <v>145</v>
      </c>
      <c r="U14" s="9" t="s">
        <v>147</v>
      </c>
      <c r="V14" s="9">
        <v>1323000000</v>
      </c>
    </row>
    <row r="15" spans="1:22" x14ac:dyDescent="0.4">
      <c r="A15" s="18"/>
      <c r="B15" s="18"/>
      <c r="E15" s="18"/>
      <c r="F15" s="18"/>
      <c r="I15" s="9" t="s">
        <v>189</v>
      </c>
      <c r="J15" s="9">
        <v>1613650000</v>
      </c>
      <c r="K15" s="9">
        <v>1613650000</v>
      </c>
      <c r="L15" s="9">
        <v>0</v>
      </c>
      <c r="M15" s="9">
        <v>0</v>
      </c>
      <c r="N15" s="18">
        <v>0</v>
      </c>
      <c r="O15" s="18">
        <v>109</v>
      </c>
      <c r="P15" s="18" t="s">
        <v>127</v>
      </c>
      <c r="Q15" s="9">
        <v>1716550000</v>
      </c>
      <c r="R15" s="9">
        <v>1716550000</v>
      </c>
      <c r="S15" s="18">
        <v>0</v>
      </c>
      <c r="T15" s="18" t="s">
        <v>145</v>
      </c>
      <c r="U15" s="9" t="s">
        <v>148</v>
      </c>
      <c r="V15" s="9">
        <v>-250250000</v>
      </c>
    </row>
    <row r="16" spans="1:22" x14ac:dyDescent="0.4">
      <c r="I16" s="9" t="s">
        <v>393</v>
      </c>
      <c r="J16" s="9">
        <v>1430100000</v>
      </c>
      <c r="K16" s="9">
        <v>1430100000</v>
      </c>
      <c r="L16" s="9">
        <v>0</v>
      </c>
      <c r="M16" s="9">
        <v>0</v>
      </c>
      <c r="N16" s="18">
        <v>0</v>
      </c>
      <c r="O16" s="18">
        <v>109</v>
      </c>
      <c r="P16" s="18" t="s">
        <v>132</v>
      </c>
      <c r="Q16" s="9">
        <v>-156050000</v>
      </c>
      <c r="R16" s="9">
        <v>-156050000</v>
      </c>
      <c r="S16" s="9">
        <v>0</v>
      </c>
      <c r="T16" s="9" t="s">
        <v>145</v>
      </c>
      <c r="U16" s="18" t="s">
        <v>398</v>
      </c>
      <c r="V16" s="18">
        <v>50000000</v>
      </c>
    </row>
    <row r="17" spans="9:22" x14ac:dyDescent="0.4">
      <c r="I17" s="9" t="s">
        <v>129</v>
      </c>
      <c r="J17" s="9">
        <v>1260000000</v>
      </c>
      <c r="K17" s="9">
        <v>1260000000</v>
      </c>
      <c r="L17" s="9">
        <v>0</v>
      </c>
      <c r="M17" s="9">
        <v>0</v>
      </c>
      <c r="N17" s="9">
        <v>0</v>
      </c>
      <c r="O17" s="9">
        <v>109</v>
      </c>
      <c r="P17" s="9" t="s">
        <v>135</v>
      </c>
      <c r="Q17" s="18">
        <v>-1560500000</v>
      </c>
      <c r="R17" s="9">
        <v>-1560500000</v>
      </c>
      <c r="S17" s="9">
        <v>9200</v>
      </c>
      <c r="T17" s="9" t="s">
        <v>145</v>
      </c>
      <c r="U17" s="18" t="s">
        <v>399</v>
      </c>
      <c r="V17" s="18">
        <v>-483871</v>
      </c>
    </row>
    <row r="18" spans="9:22" x14ac:dyDescent="0.4">
      <c r="I18" s="9" t="s">
        <v>129</v>
      </c>
      <c r="J18" s="9">
        <v>63000000</v>
      </c>
      <c r="K18" s="9">
        <v>63000000</v>
      </c>
      <c r="L18" s="9">
        <v>0</v>
      </c>
      <c r="M18" s="9">
        <v>0</v>
      </c>
      <c r="N18" s="18">
        <v>0</v>
      </c>
      <c r="O18" s="18">
        <v>111</v>
      </c>
      <c r="P18" s="18" t="s">
        <v>395</v>
      </c>
      <c r="Q18" s="9">
        <v>50000000</v>
      </c>
      <c r="R18" s="9">
        <v>50000000</v>
      </c>
      <c r="S18" s="18">
        <v>0</v>
      </c>
      <c r="T18" s="18" t="s">
        <v>145</v>
      </c>
      <c r="U18" s="9" t="s">
        <v>149</v>
      </c>
      <c r="V18" s="9">
        <v>1307700000</v>
      </c>
    </row>
    <row r="19" spans="9:22" x14ac:dyDescent="0.4">
      <c r="I19" s="9" t="s">
        <v>130</v>
      </c>
      <c r="J19" s="9">
        <v>0</v>
      </c>
      <c r="K19" s="9">
        <v>0</v>
      </c>
      <c r="L19" s="9">
        <v>231000000</v>
      </c>
      <c r="M19" s="9">
        <v>231000000</v>
      </c>
      <c r="N19" s="18">
        <v>0</v>
      </c>
      <c r="O19" s="18">
        <v>111</v>
      </c>
      <c r="P19" s="18" t="s">
        <v>131</v>
      </c>
      <c r="Q19" s="9">
        <v>-50000000</v>
      </c>
      <c r="R19" s="9">
        <v>-50000000</v>
      </c>
      <c r="S19" s="18">
        <v>0</v>
      </c>
      <c r="T19" s="18" t="s">
        <v>145</v>
      </c>
      <c r="U19" s="9" t="s">
        <v>400</v>
      </c>
      <c r="V19" s="9">
        <v>315000000</v>
      </c>
    </row>
    <row r="20" spans="9:22" x14ac:dyDescent="0.4">
      <c r="I20" s="9" t="s">
        <v>140</v>
      </c>
      <c r="J20" s="9">
        <v>5280000000</v>
      </c>
      <c r="K20" s="9">
        <v>5280000000</v>
      </c>
      <c r="L20" s="9">
        <v>0</v>
      </c>
      <c r="M20" s="9">
        <v>0</v>
      </c>
      <c r="N20" s="18">
        <v>0</v>
      </c>
      <c r="O20" s="18">
        <v>112</v>
      </c>
      <c r="P20" s="18" t="s">
        <v>126</v>
      </c>
      <c r="Q20" s="9">
        <v>1699384500</v>
      </c>
      <c r="R20" s="9">
        <v>1699384500</v>
      </c>
      <c r="S20" s="9">
        <v>0</v>
      </c>
      <c r="T20" s="9" t="s">
        <v>145</v>
      </c>
      <c r="U20" s="18" t="s">
        <v>150</v>
      </c>
      <c r="V20" s="18">
        <v>117210000</v>
      </c>
    </row>
    <row r="21" spans="9:22" x14ac:dyDescent="0.4">
      <c r="I21" s="9" t="s">
        <v>131</v>
      </c>
      <c r="J21" s="9">
        <v>137698000</v>
      </c>
      <c r="K21" s="9">
        <v>137698000</v>
      </c>
      <c r="L21" s="9">
        <v>0</v>
      </c>
      <c r="M21" s="9">
        <v>0</v>
      </c>
      <c r="N21" s="18">
        <v>0</v>
      </c>
      <c r="O21" s="18">
        <v>112</v>
      </c>
      <c r="P21" s="18" t="s">
        <v>127</v>
      </c>
      <c r="Q21" s="9">
        <v>-1716550000</v>
      </c>
      <c r="R21" s="9">
        <v>-1716550000</v>
      </c>
      <c r="S21" s="18">
        <v>0</v>
      </c>
      <c r="T21" s="18" t="s">
        <v>145</v>
      </c>
      <c r="U21" s="9" t="s">
        <v>151</v>
      </c>
      <c r="V21" s="9">
        <v>54595000</v>
      </c>
    </row>
    <row r="22" spans="9:22" x14ac:dyDescent="0.4">
      <c r="I22" s="9" t="s">
        <v>131</v>
      </c>
      <c r="J22" s="9">
        <v>0</v>
      </c>
      <c r="K22" s="9">
        <v>0</v>
      </c>
      <c r="L22" s="9">
        <v>1257700000</v>
      </c>
      <c r="M22" s="9">
        <v>1257700000</v>
      </c>
      <c r="N22" s="18">
        <v>0</v>
      </c>
      <c r="O22" s="18">
        <v>112</v>
      </c>
      <c r="P22" s="18" t="s">
        <v>137</v>
      </c>
      <c r="Q22" s="9">
        <v>17165500</v>
      </c>
      <c r="R22" s="9">
        <v>17165500</v>
      </c>
      <c r="S22" s="18">
        <v>0</v>
      </c>
      <c r="T22" s="18" t="s">
        <v>145</v>
      </c>
      <c r="U22" s="9" t="s">
        <v>152</v>
      </c>
      <c r="V22" s="9">
        <v>20740000</v>
      </c>
    </row>
    <row r="23" spans="9:22" x14ac:dyDescent="0.4">
      <c r="I23" s="9" t="s">
        <v>131</v>
      </c>
      <c r="J23" s="9">
        <v>215000000</v>
      </c>
      <c r="K23" s="9">
        <v>215000000</v>
      </c>
      <c r="L23" s="9">
        <v>0</v>
      </c>
      <c r="M23" s="9">
        <v>0</v>
      </c>
      <c r="N23" s="18">
        <v>0</v>
      </c>
      <c r="O23" s="18">
        <v>114</v>
      </c>
      <c r="P23" s="18" t="s">
        <v>396</v>
      </c>
      <c r="Q23" s="9">
        <v>50000000</v>
      </c>
      <c r="R23" s="9">
        <v>50000000</v>
      </c>
      <c r="S23" s="18">
        <v>0</v>
      </c>
      <c r="T23" s="18" t="s">
        <v>145</v>
      </c>
      <c r="U23" s="9" t="s">
        <v>401</v>
      </c>
      <c r="V23" s="9">
        <v>654662724</v>
      </c>
    </row>
    <row r="24" spans="9:22" x14ac:dyDescent="0.4">
      <c r="I24" s="9" t="s">
        <v>131</v>
      </c>
      <c r="J24" s="9">
        <v>0</v>
      </c>
      <c r="K24" s="9">
        <v>0</v>
      </c>
      <c r="L24" s="9">
        <v>574000000</v>
      </c>
      <c r="M24" s="9">
        <v>574000000</v>
      </c>
      <c r="N24" s="18">
        <v>0</v>
      </c>
      <c r="O24" s="18">
        <v>114</v>
      </c>
      <c r="P24" s="18" t="s">
        <v>395</v>
      </c>
      <c r="Q24" s="9">
        <v>-50000000</v>
      </c>
      <c r="R24" s="9">
        <v>-50000000</v>
      </c>
      <c r="S24" s="18">
        <v>0</v>
      </c>
      <c r="T24" s="18" t="s">
        <v>145</v>
      </c>
      <c r="U24" s="9" t="s">
        <v>131</v>
      </c>
      <c r="V24" s="9">
        <v>574000000</v>
      </c>
    </row>
    <row r="25" spans="9:22" x14ac:dyDescent="0.4">
      <c r="I25" s="9" t="s">
        <v>394</v>
      </c>
      <c r="J25" s="9">
        <v>0</v>
      </c>
      <c r="K25" s="9">
        <v>0</v>
      </c>
      <c r="L25" s="9">
        <v>278964521</v>
      </c>
      <c r="M25" s="9">
        <v>278964521</v>
      </c>
      <c r="N25" s="9">
        <v>0</v>
      </c>
      <c r="O25" s="9">
        <v>118</v>
      </c>
      <c r="P25" s="9" t="s">
        <v>126</v>
      </c>
      <c r="Q25" s="18">
        <v>-89542000</v>
      </c>
      <c r="R25" s="9">
        <v>-89542000</v>
      </c>
      <c r="S25" s="18">
        <v>0</v>
      </c>
      <c r="T25" s="18" t="s">
        <v>145</v>
      </c>
      <c r="U25" s="9" t="s">
        <v>402</v>
      </c>
      <c r="V25" s="9">
        <v>324000000</v>
      </c>
    </row>
    <row r="26" spans="9:22" x14ac:dyDescent="0.4">
      <c r="I26" s="9" t="s">
        <v>394</v>
      </c>
      <c r="J26" s="9">
        <v>0</v>
      </c>
      <c r="K26" s="9">
        <v>0</v>
      </c>
      <c r="L26" s="9">
        <v>375698203</v>
      </c>
      <c r="M26" s="9">
        <v>375698203</v>
      </c>
      <c r="N26" s="18">
        <v>0</v>
      </c>
      <c r="O26" s="18">
        <v>118</v>
      </c>
      <c r="P26" s="18" t="s">
        <v>131</v>
      </c>
      <c r="Q26" s="9">
        <v>89542000</v>
      </c>
      <c r="R26" s="9">
        <v>89542000</v>
      </c>
      <c r="S26" s="9">
        <v>0</v>
      </c>
      <c r="T26" s="9" t="s">
        <v>145</v>
      </c>
      <c r="U26" s="18" t="s">
        <v>133</v>
      </c>
      <c r="V26" s="18">
        <v>9572695500</v>
      </c>
    </row>
    <row r="27" spans="9:22" x14ac:dyDescent="0.4">
      <c r="I27" s="9" t="s">
        <v>133</v>
      </c>
      <c r="J27" s="9">
        <v>0</v>
      </c>
      <c r="K27" s="9">
        <v>0</v>
      </c>
      <c r="L27" s="9">
        <v>9572695500</v>
      </c>
      <c r="M27" s="9">
        <v>9572695500</v>
      </c>
      <c r="N27" s="18">
        <v>0</v>
      </c>
      <c r="O27" s="18">
        <v>130</v>
      </c>
      <c r="P27" s="18" t="s">
        <v>141</v>
      </c>
      <c r="Q27" s="9">
        <v>-54595000</v>
      </c>
      <c r="R27" s="9">
        <v>-54595000</v>
      </c>
      <c r="S27" s="9">
        <v>0</v>
      </c>
      <c r="T27" s="9" t="s">
        <v>145</v>
      </c>
      <c r="U27" s="18" t="s">
        <v>153</v>
      </c>
      <c r="V27" s="18">
        <v>9572695500</v>
      </c>
    </row>
    <row r="28" spans="9:22" x14ac:dyDescent="0.4">
      <c r="I28" s="9" t="s">
        <v>134</v>
      </c>
      <c r="J28" s="9">
        <v>0</v>
      </c>
      <c r="K28" s="9">
        <v>0</v>
      </c>
      <c r="L28" s="9">
        <v>521980780</v>
      </c>
      <c r="M28" s="9">
        <v>521980780</v>
      </c>
      <c r="N28" s="9">
        <v>0</v>
      </c>
      <c r="O28" s="9">
        <v>130</v>
      </c>
      <c r="P28" s="9" t="s">
        <v>142</v>
      </c>
      <c r="Q28" s="18">
        <v>-20740000</v>
      </c>
      <c r="R28" s="9">
        <v>-20740000</v>
      </c>
      <c r="S28" s="18">
        <v>0</v>
      </c>
      <c r="T28" s="18" t="s">
        <v>145</v>
      </c>
      <c r="U28" s="9" t="s">
        <v>155</v>
      </c>
      <c r="V28" s="9">
        <v>1643637276</v>
      </c>
    </row>
    <row r="29" spans="9:22" x14ac:dyDescent="0.4">
      <c r="I29" s="9" t="s">
        <v>134</v>
      </c>
      <c r="J29" s="9">
        <v>0</v>
      </c>
      <c r="K29" s="9">
        <v>0</v>
      </c>
      <c r="L29" s="9">
        <v>1121656496</v>
      </c>
      <c r="M29" s="9">
        <v>1121656496</v>
      </c>
      <c r="N29" s="9">
        <v>0</v>
      </c>
      <c r="O29" s="9">
        <v>130</v>
      </c>
      <c r="P29" s="9" t="s">
        <v>139</v>
      </c>
      <c r="Q29" s="18">
        <v>43225000</v>
      </c>
      <c r="R29" s="9">
        <v>43225000</v>
      </c>
      <c r="S29" s="18">
        <v>0</v>
      </c>
      <c r="T29" s="18" t="s">
        <v>145</v>
      </c>
      <c r="U29" s="9" t="s">
        <v>154</v>
      </c>
      <c r="V29" s="9">
        <v>717865629</v>
      </c>
    </row>
    <row r="30" spans="9:22" x14ac:dyDescent="0.4">
      <c r="O30" s="9">
        <v>130</v>
      </c>
      <c r="P30" s="9" t="s">
        <v>143</v>
      </c>
      <c r="Q30" s="18">
        <v>32110000</v>
      </c>
      <c r="R30" s="9">
        <v>32110000</v>
      </c>
      <c r="S30" s="18">
        <v>0</v>
      </c>
      <c r="T30" s="18" t="s">
        <v>190</v>
      </c>
      <c r="U30" s="9" t="s">
        <v>191</v>
      </c>
      <c r="V30" s="9">
        <v>1560500000</v>
      </c>
    </row>
    <row r="31" spans="9:22" x14ac:dyDescent="0.4">
      <c r="O31" s="9">
        <v>131</v>
      </c>
      <c r="P31" s="9" t="s">
        <v>138</v>
      </c>
      <c r="Q31" s="18">
        <v>-38840000</v>
      </c>
      <c r="R31" s="9">
        <v>-38840000</v>
      </c>
      <c r="S31" s="18">
        <v>0</v>
      </c>
      <c r="T31" s="18" t="s">
        <v>190</v>
      </c>
      <c r="U31" s="9" t="s">
        <v>192</v>
      </c>
      <c r="V31" s="9">
        <v>620400000</v>
      </c>
    </row>
    <row r="32" spans="9:22" x14ac:dyDescent="0.4">
      <c r="O32" s="9">
        <v>131</v>
      </c>
      <c r="P32" s="9" t="s">
        <v>130</v>
      </c>
      <c r="Q32" s="18">
        <v>-19733871</v>
      </c>
      <c r="R32" s="9">
        <v>-19733871</v>
      </c>
      <c r="S32" s="9">
        <v>0</v>
      </c>
      <c r="T32" s="9" t="s">
        <v>190</v>
      </c>
      <c r="U32" s="18" t="s">
        <v>193</v>
      </c>
      <c r="V32" s="18">
        <v>17165500</v>
      </c>
    </row>
    <row r="33" spans="15:22" x14ac:dyDescent="0.4">
      <c r="O33" s="9">
        <v>131</v>
      </c>
      <c r="P33" s="9" t="s">
        <v>140</v>
      </c>
      <c r="Q33" s="18">
        <v>-110000000</v>
      </c>
      <c r="R33" s="9">
        <v>-110000000</v>
      </c>
      <c r="S33" s="9">
        <v>0</v>
      </c>
      <c r="T33" s="9" t="s">
        <v>190</v>
      </c>
      <c r="U33" s="18" t="s">
        <v>194</v>
      </c>
      <c r="V33" s="18">
        <v>60725000</v>
      </c>
    </row>
    <row r="34" spans="15:22" x14ac:dyDescent="0.4">
      <c r="O34" s="9">
        <v>131</v>
      </c>
      <c r="P34" s="9" t="s">
        <v>132</v>
      </c>
      <c r="Q34" s="18">
        <v>38840000</v>
      </c>
      <c r="R34" s="9">
        <v>38840000</v>
      </c>
      <c r="S34" s="9">
        <v>0</v>
      </c>
      <c r="T34" s="9" t="s">
        <v>190</v>
      </c>
      <c r="U34" s="18" t="s">
        <v>195</v>
      </c>
      <c r="V34" s="18">
        <v>144343871</v>
      </c>
    </row>
    <row r="35" spans="15:22" x14ac:dyDescent="0.4">
      <c r="O35" s="9">
        <v>131</v>
      </c>
      <c r="P35" s="9" t="s">
        <v>134</v>
      </c>
      <c r="Q35" s="18">
        <v>-717865629</v>
      </c>
      <c r="R35" s="9">
        <v>-717865629</v>
      </c>
      <c r="S35" s="9">
        <v>0</v>
      </c>
      <c r="U35" s="18"/>
      <c r="V35" s="18"/>
    </row>
    <row r="36" spans="15:22" x14ac:dyDescent="0.4">
      <c r="O36" s="9">
        <v>131</v>
      </c>
      <c r="P36" s="9" t="s">
        <v>135</v>
      </c>
      <c r="Q36" s="18">
        <v>1560500000</v>
      </c>
      <c r="R36" s="9">
        <v>1560500000</v>
      </c>
      <c r="S36" s="9">
        <v>0</v>
      </c>
    </row>
    <row r="37" spans="15:22" x14ac:dyDescent="0.4">
      <c r="O37" s="9">
        <v>131</v>
      </c>
      <c r="P37" s="9" t="s">
        <v>136</v>
      </c>
      <c r="Q37" s="18">
        <v>-620400000</v>
      </c>
      <c r="R37" s="9">
        <v>-620400000</v>
      </c>
      <c r="S37" s="9">
        <v>0</v>
      </c>
      <c r="U37" s="18"/>
      <c r="V37" s="18"/>
    </row>
    <row r="38" spans="15:22" x14ac:dyDescent="0.4">
      <c r="O38" s="9">
        <v>131</v>
      </c>
      <c r="P38" s="9" t="s">
        <v>137</v>
      </c>
      <c r="Q38" s="9">
        <v>-17165500</v>
      </c>
      <c r="R38" s="9">
        <v>-17165500</v>
      </c>
      <c r="S38" s="18">
        <v>0</v>
      </c>
      <c r="T38" s="18"/>
    </row>
    <row r="39" spans="15:22" x14ac:dyDescent="0.4">
      <c r="O39" s="9">
        <v>131</v>
      </c>
      <c r="P39" s="9" t="s">
        <v>139</v>
      </c>
      <c r="Q39" s="9">
        <v>-43225000</v>
      </c>
      <c r="R39" s="9">
        <v>-43225000</v>
      </c>
      <c r="S39" s="18">
        <v>0</v>
      </c>
      <c r="T39" s="18"/>
    </row>
    <row r="40" spans="15:22" x14ac:dyDescent="0.4">
      <c r="O40" s="9">
        <v>131</v>
      </c>
      <c r="P40" s="9" t="s">
        <v>143</v>
      </c>
      <c r="Q40" s="9">
        <v>-32110000</v>
      </c>
      <c r="R40" s="9">
        <v>-32110000</v>
      </c>
      <c r="S40" s="18">
        <v>0</v>
      </c>
      <c r="T40" s="18"/>
    </row>
    <row r="41" spans="15:22" x14ac:dyDescent="0.4">
      <c r="U41" s="18"/>
      <c r="V41" s="18"/>
    </row>
    <row r="42" spans="15:22" x14ac:dyDescent="0.4">
      <c r="S42" s="18"/>
      <c r="T42" s="18"/>
    </row>
    <row r="43" spans="15:22" x14ac:dyDescent="0.4">
      <c r="S43" s="18"/>
      <c r="T43" s="18"/>
    </row>
    <row r="44" spans="15:22" x14ac:dyDescent="0.4">
      <c r="U44" s="18"/>
      <c r="V44" s="18"/>
    </row>
    <row r="45" spans="15:22" x14ac:dyDescent="0.4">
      <c r="S45" s="18"/>
      <c r="T45" s="18"/>
    </row>
    <row r="46" spans="15:22" x14ac:dyDescent="0.4">
      <c r="S46" s="18"/>
      <c r="T46" s="18"/>
    </row>
    <row r="47" spans="15:22" x14ac:dyDescent="0.4">
      <c r="S47" s="18"/>
      <c r="T47" s="18"/>
    </row>
    <row r="48" spans="15:22" x14ac:dyDescent="0.4">
      <c r="U48" s="18"/>
      <c r="V48" s="18"/>
    </row>
    <row r="49" spans="19:22" x14ac:dyDescent="0.4">
      <c r="S49" s="18"/>
      <c r="T49" s="18"/>
    </row>
    <row r="50" spans="19:22" x14ac:dyDescent="0.4">
      <c r="U50" s="18"/>
      <c r="V50" s="18"/>
    </row>
    <row r="51" spans="19:22" x14ac:dyDescent="0.4">
      <c r="U51" s="18"/>
      <c r="V51" s="18"/>
    </row>
    <row r="52" spans="19:22" x14ac:dyDescent="0.4">
      <c r="S52" s="18"/>
      <c r="T52" s="18"/>
    </row>
    <row r="53" spans="19:22" x14ac:dyDescent="0.4">
      <c r="S53" s="18"/>
      <c r="T53" s="18"/>
    </row>
    <row r="54" spans="19:22" x14ac:dyDescent="0.4">
      <c r="U54" s="18"/>
      <c r="V54" s="18"/>
    </row>
    <row r="55" spans="19:22" x14ac:dyDescent="0.4">
      <c r="S55" s="18"/>
      <c r="T55" s="18"/>
    </row>
    <row r="56" spans="19:22" x14ac:dyDescent="0.4">
      <c r="U56" s="18"/>
      <c r="V56" s="18"/>
    </row>
    <row r="57" spans="19:22" x14ac:dyDescent="0.4">
      <c r="S57" s="18"/>
      <c r="T57" s="18"/>
    </row>
    <row r="58" spans="19:22" x14ac:dyDescent="0.4">
      <c r="U58" s="18"/>
      <c r="V58" s="18"/>
    </row>
    <row r="59" spans="19:22" x14ac:dyDescent="0.4">
      <c r="U59" s="18"/>
      <c r="V59" s="18"/>
    </row>
    <row r="60" spans="19:22" x14ac:dyDescent="0.4">
      <c r="S60" s="18"/>
      <c r="T60" s="18"/>
    </row>
    <row r="61" spans="19:22" x14ac:dyDescent="0.4">
      <c r="U61" s="18"/>
      <c r="V61" s="18"/>
    </row>
    <row r="62" spans="19:22" x14ac:dyDescent="0.4">
      <c r="U62" s="18"/>
      <c r="V62" s="18"/>
    </row>
    <row r="63" spans="19:22" x14ac:dyDescent="0.4">
      <c r="S63" s="18"/>
      <c r="T63" s="18"/>
    </row>
    <row r="64" spans="19:22" x14ac:dyDescent="0.4">
      <c r="S64" s="18"/>
      <c r="T64" s="18"/>
    </row>
    <row r="65" spans="17:22" x14ac:dyDescent="0.4">
      <c r="S65" s="18"/>
      <c r="T65" s="18"/>
    </row>
    <row r="66" spans="17:22" x14ac:dyDescent="0.4">
      <c r="S66" s="18"/>
      <c r="T66" s="18"/>
    </row>
    <row r="67" spans="17:22" x14ac:dyDescent="0.4">
      <c r="U67" s="18"/>
      <c r="V67" s="18"/>
    </row>
    <row r="68" spans="17:22" x14ac:dyDescent="0.4">
      <c r="U68" s="18"/>
      <c r="V68" s="18"/>
    </row>
    <row r="69" spans="17:22" x14ac:dyDescent="0.4">
      <c r="S69" s="18"/>
      <c r="T69" s="18"/>
    </row>
    <row r="70" spans="17:22" x14ac:dyDescent="0.4">
      <c r="U70" s="18"/>
      <c r="V70" s="18"/>
    </row>
    <row r="71" spans="17:22" x14ac:dyDescent="0.4">
      <c r="U71" s="18"/>
      <c r="V71" s="18"/>
    </row>
    <row r="72" spans="17:22" x14ac:dyDescent="0.4">
      <c r="S72" s="18"/>
      <c r="T72" s="18"/>
    </row>
    <row r="73" spans="17:22" x14ac:dyDescent="0.4">
      <c r="S73" s="18"/>
      <c r="T73" s="18"/>
    </row>
    <row r="74" spans="17:22" x14ac:dyDescent="0.4">
      <c r="S74" s="18"/>
      <c r="T74" s="18"/>
    </row>
    <row r="75" spans="17:22" x14ac:dyDescent="0.4">
      <c r="U75" s="18"/>
      <c r="V75" s="18"/>
    </row>
    <row r="76" spans="17:22" x14ac:dyDescent="0.4">
      <c r="S76" s="18"/>
      <c r="T76" s="18"/>
    </row>
    <row r="77" spans="17:22" x14ac:dyDescent="0.4">
      <c r="Q77" s="44"/>
      <c r="R77" s="44"/>
      <c r="U77" s="18"/>
      <c r="V77" s="18"/>
    </row>
    <row r="78" spans="17:22" x14ac:dyDescent="0.4">
      <c r="U78" s="18"/>
      <c r="V78" s="18"/>
    </row>
    <row r="79" spans="17:22" x14ac:dyDescent="0.4">
      <c r="S79" s="18"/>
      <c r="T79" s="18"/>
    </row>
    <row r="80" spans="17:22" x14ac:dyDescent="0.4">
      <c r="S80" s="18"/>
      <c r="T80" s="18"/>
    </row>
    <row r="81" spans="19:22" x14ac:dyDescent="0.4">
      <c r="U81" s="18"/>
      <c r="V81" s="18"/>
    </row>
    <row r="82" spans="19:22" x14ac:dyDescent="0.4">
      <c r="S82" s="18"/>
      <c r="T82" s="18"/>
      <c r="U82" s="18"/>
      <c r="V82" s="18"/>
    </row>
    <row r="83" spans="19:22" x14ac:dyDescent="0.4">
      <c r="U83" s="18"/>
      <c r="V83" s="18"/>
    </row>
    <row r="84" spans="19:22" x14ac:dyDescent="0.4">
      <c r="U84" s="18"/>
      <c r="V84" s="18"/>
    </row>
    <row r="85" spans="19:22" x14ac:dyDescent="0.4">
      <c r="S85" s="18"/>
      <c r="T85" s="18"/>
    </row>
    <row r="86" spans="19:22" x14ac:dyDescent="0.4">
      <c r="S86" s="18"/>
      <c r="T86" s="18"/>
    </row>
    <row r="87" spans="19:22" x14ac:dyDescent="0.4">
      <c r="U87" s="18"/>
      <c r="V87" s="18"/>
    </row>
    <row r="88" spans="19:22" x14ac:dyDescent="0.4">
      <c r="U88" s="18"/>
      <c r="V88" s="18"/>
    </row>
    <row r="90" spans="19:22" x14ac:dyDescent="0.4">
      <c r="U90" s="18"/>
      <c r="V90" s="18"/>
    </row>
    <row r="91" spans="19:22" x14ac:dyDescent="0.4">
      <c r="S91" s="18"/>
      <c r="T91" s="18"/>
    </row>
    <row r="92" spans="19:22" x14ac:dyDescent="0.4">
      <c r="U92" s="18"/>
      <c r="V92" s="18"/>
    </row>
    <row r="93" spans="19:22" x14ac:dyDescent="0.4">
      <c r="U93" s="18"/>
      <c r="V93" s="18"/>
    </row>
    <row r="95" spans="19:22" x14ac:dyDescent="0.4">
      <c r="S95" s="18"/>
      <c r="T95" s="18"/>
      <c r="U95" s="18"/>
      <c r="V95" s="18"/>
    </row>
    <row r="96" spans="19:22" x14ac:dyDescent="0.4">
      <c r="S96" s="18"/>
      <c r="T96" s="18"/>
    </row>
    <row r="97" spans="19:22" x14ac:dyDescent="0.4">
      <c r="U97" s="18"/>
      <c r="V97" s="18"/>
    </row>
    <row r="98" spans="19:22" x14ac:dyDescent="0.4">
      <c r="S98" s="18"/>
      <c r="T98" s="18"/>
    </row>
    <row r="99" spans="19:22" x14ac:dyDescent="0.4">
      <c r="U99" s="18"/>
      <c r="V99" s="18"/>
    </row>
    <row r="100" spans="19:22" x14ac:dyDescent="0.4">
      <c r="U100" s="18"/>
      <c r="V100" s="18"/>
    </row>
    <row r="101" spans="19:22" x14ac:dyDescent="0.4">
      <c r="U101" s="18"/>
      <c r="V101" s="18"/>
    </row>
    <row r="102" spans="19:22" x14ac:dyDescent="0.4">
      <c r="S102" s="18"/>
      <c r="T102" s="18"/>
    </row>
    <row r="103" spans="19:22" x14ac:dyDescent="0.4">
      <c r="S103" s="18"/>
      <c r="T103" s="18"/>
    </row>
    <row r="104" spans="19:22" x14ac:dyDescent="0.4">
      <c r="S104" s="18"/>
      <c r="T104" s="18"/>
    </row>
    <row r="105" spans="19:22" x14ac:dyDescent="0.4">
      <c r="U105" s="18"/>
      <c r="V105" s="18"/>
    </row>
    <row r="106" spans="19:22" x14ac:dyDescent="0.4">
      <c r="U106" s="18"/>
      <c r="V106" s="18"/>
    </row>
    <row r="107" spans="19:22" x14ac:dyDescent="0.4">
      <c r="S107" s="18"/>
      <c r="T107" s="18"/>
    </row>
    <row r="108" spans="19:22" x14ac:dyDescent="0.4">
      <c r="U108" s="18"/>
      <c r="V108" s="18"/>
    </row>
    <row r="109" spans="19:22" x14ac:dyDescent="0.4">
      <c r="S109" s="18"/>
      <c r="T109" s="18"/>
    </row>
    <row r="110" spans="19:22" x14ac:dyDescent="0.4">
      <c r="S110" s="18"/>
      <c r="T110" s="18"/>
    </row>
    <row r="111" spans="19:22" x14ac:dyDescent="0.4">
      <c r="U111" s="18"/>
      <c r="V111" s="18"/>
    </row>
    <row r="112" spans="19:22" x14ac:dyDescent="0.4">
      <c r="U112" s="18"/>
      <c r="V112" s="18"/>
    </row>
    <row r="113" spans="19:22" x14ac:dyDescent="0.4">
      <c r="U113" s="18"/>
      <c r="V113" s="18"/>
    </row>
    <row r="114" spans="19:22" x14ac:dyDescent="0.4">
      <c r="U114" s="18"/>
      <c r="V114" s="18"/>
    </row>
    <row r="115" spans="19:22" x14ac:dyDescent="0.4">
      <c r="U115" s="18"/>
      <c r="V115" s="18"/>
    </row>
    <row r="116" spans="19:22" x14ac:dyDescent="0.4">
      <c r="U116" s="18"/>
      <c r="V116" s="18"/>
    </row>
    <row r="117" spans="19:22" x14ac:dyDescent="0.4">
      <c r="U117" s="18"/>
      <c r="V117" s="18"/>
    </row>
    <row r="118" spans="19:22" x14ac:dyDescent="0.4">
      <c r="U118" s="18"/>
      <c r="V118" s="18"/>
    </row>
    <row r="119" spans="19:22" x14ac:dyDescent="0.4">
      <c r="U119" s="18"/>
      <c r="V119" s="18"/>
    </row>
    <row r="120" spans="19:22" x14ac:dyDescent="0.4">
      <c r="U120" s="18"/>
      <c r="V120" s="18"/>
    </row>
    <row r="121" spans="19:22" x14ac:dyDescent="0.4">
      <c r="U121" s="18"/>
      <c r="V121" s="18"/>
    </row>
    <row r="122" spans="19:22" x14ac:dyDescent="0.4">
      <c r="U122" s="18"/>
      <c r="V122" s="18"/>
    </row>
    <row r="123" spans="19:22" x14ac:dyDescent="0.4">
      <c r="S123" s="18"/>
      <c r="T123" s="18"/>
    </row>
    <row r="124" spans="19:22" x14ac:dyDescent="0.4">
      <c r="U124" s="18"/>
      <c r="V124" s="18"/>
    </row>
    <row r="125" spans="19:22" x14ac:dyDescent="0.4">
      <c r="U125" s="18"/>
      <c r="V125" s="18"/>
    </row>
    <row r="126" spans="19:22" x14ac:dyDescent="0.4">
      <c r="S126" s="18"/>
      <c r="T126" s="18"/>
      <c r="U126" s="18"/>
      <c r="V126" s="18"/>
    </row>
    <row r="128" spans="19:22" x14ac:dyDescent="0.4">
      <c r="U128" s="18"/>
      <c r="V128" s="18"/>
    </row>
    <row r="129" spans="19:22" x14ac:dyDescent="0.4">
      <c r="S129" s="18"/>
      <c r="T129" s="18"/>
    </row>
    <row r="130" spans="19:22" x14ac:dyDescent="0.4">
      <c r="S130" s="18"/>
    </row>
    <row r="131" spans="19:22" x14ac:dyDescent="0.4">
      <c r="U131" s="18"/>
      <c r="V131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iLam"/>
  <dimension ref="A1:BA2000"/>
  <sheetViews>
    <sheetView tabSelected="1" topLeftCell="C1" workbookViewId="0">
      <selection activeCell="AI4" sqref="A4:AI4"/>
    </sheetView>
  </sheetViews>
  <sheetFormatPr defaultColWidth="9.140625" defaultRowHeight="21" x14ac:dyDescent="0.4"/>
  <cols>
    <col min="1" max="1" width="68" style="9" bestFit="1" customWidth="1"/>
    <col min="2" max="2" width="28.140625" style="9" bestFit="1" customWidth="1"/>
    <col min="3" max="3" width="51.140625" style="9" customWidth="1"/>
    <col min="4" max="4" width="21.140625" style="9" customWidth="1"/>
    <col min="5" max="5" width="27.85546875" style="9" customWidth="1"/>
    <col min="6" max="6" width="24.5703125" style="9" customWidth="1"/>
    <col min="7" max="7" width="30.5703125" style="9" bestFit="1" customWidth="1"/>
    <col min="8" max="8" width="18.85546875" style="9" bestFit="1" customWidth="1"/>
    <col min="9" max="9" width="35" style="9" bestFit="1" customWidth="1"/>
    <col min="10" max="10" width="36.85546875" style="9" bestFit="1" customWidth="1"/>
    <col min="11" max="11" width="12.5703125" style="9" bestFit="1" customWidth="1"/>
    <col min="12" max="12" width="21.42578125" style="9" bestFit="1" customWidth="1"/>
    <col min="13" max="13" width="9.85546875" style="9" bestFit="1" customWidth="1"/>
    <col min="14" max="14" width="8.5703125" style="9" bestFit="1" customWidth="1"/>
    <col min="15" max="15" width="15.5703125" style="9" bestFit="1" customWidth="1"/>
    <col min="16" max="16" width="22.5703125" style="9" bestFit="1" customWidth="1"/>
    <col min="17" max="17" width="15.5703125" style="9" bestFit="1" customWidth="1"/>
    <col min="18" max="18" width="22.140625" style="9" bestFit="1" customWidth="1"/>
    <col min="19" max="19" width="11.85546875" style="9" bestFit="1" customWidth="1"/>
    <col min="20" max="21" width="9.140625" style="9"/>
    <col min="22" max="22" width="14.5703125" style="9" customWidth="1"/>
    <col min="23" max="23" width="16.5703125" style="9" bestFit="1" customWidth="1"/>
    <col min="24" max="24" width="24.42578125" style="9" bestFit="1" customWidth="1"/>
    <col min="25" max="25" width="15.5703125" style="9" bestFit="1" customWidth="1"/>
    <col min="26" max="26" width="14.42578125" style="9" customWidth="1"/>
    <col min="27" max="27" width="15.140625" style="9" bestFit="1" customWidth="1"/>
    <col min="28" max="28" width="9.42578125" style="9" bestFit="1" customWidth="1"/>
    <col min="29" max="29" width="17.140625" style="9" bestFit="1" customWidth="1"/>
    <col min="30" max="30" width="9.140625" style="9"/>
    <col min="31" max="31" width="29.42578125" style="9" bestFit="1" customWidth="1"/>
    <col min="32" max="32" width="9.42578125" style="9" bestFit="1" customWidth="1"/>
    <col min="33" max="16384" width="9.140625" style="9"/>
  </cols>
  <sheetData>
    <row r="1" spans="1:53" x14ac:dyDescent="0.4">
      <c r="A1" s="10" t="s">
        <v>93</v>
      </c>
      <c r="B1" s="10" t="s">
        <v>45</v>
      </c>
      <c r="C1" s="10" t="s">
        <v>36</v>
      </c>
      <c r="D1" s="10" t="s">
        <v>48</v>
      </c>
      <c r="E1" s="13" t="s">
        <v>112</v>
      </c>
      <c r="F1" s="26">
        <v>17046371</v>
      </c>
      <c r="I1" s="9" t="s">
        <v>75</v>
      </c>
      <c r="J1" s="9" t="s">
        <v>111</v>
      </c>
      <c r="AE1" s="10" t="s">
        <v>49</v>
      </c>
      <c r="AF1" s="9">
        <f>G8*DapAn!B1/10</f>
        <v>1</v>
      </c>
      <c r="BA1" s="9">
        <v>1</v>
      </c>
    </row>
    <row r="2" spans="1:53" x14ac:dyDescent="0.4">
      <c r="A2" t="s">
        <v>113</v>
      </c>
      <c r="B2" s="9" t="str">
        <f ca="1">TEXT(IFERROR(LOOKUP(10^8,MID(A2,ROW(INDIRECT("1:"&amp;LEN(A2)-11)),8)+0),IF(A2="","",TRIM(RIGHT(SUBSTITUTE(LEFT(A2,LEN(A2)-4),"\",REPT(" ",50)),50)))),"00000000")</f>
        <v>15020901</v>
      </c>
      <c r="C2" t="str">
        <f>IF(A2="","",$J$1&amp;IF(J1="","","\")&amp;A2)</f>
        <v>T:\DHKT13C\15020901.mdf</v>
      </c>
      <c r="D2" s="10" t="s">
        <v>79</v>
      </c>
      <c r="E2" s="9" t="str">
        <f>"SELECT name FROM master.dbo.sysdatabases where name = '"&amp;F1&amp;"'"</f>
        <v>SELECT name FROM master.dbo.sysdatabases where name = '17046371'</v>
      </c>
      <c r="AE2" s="10" t="s">
        <v>50</v>
      </c>
      <c r="AF2" s="9">
        <f>IF(DapAn!H6=0,0,SUM(BaiLam_DiemSDTS)/DapAn!H6*DapAn!B2)/10</f>
        <v>0.5</v>
      </c>
    </row>
    <row r="3" spans="1:53" x14ac:dyDescent="0.4">
      <c r="A3" t="s">
        <v>114</v>
      </c>
      <c r="B3" s="9" t="str">
        <f t="shared" ref="B3:B66" ca="1" si="0">TEXT(IFERROR(LOOKUP(10^8,MID(A3,ROW(INDIRECT("1:"&amp;LEN(A3)-11)),8)+0),IF(A3="","",TRIM(RIGHT(SUBSTITUTE(LEFT(A3,LEN(A3)-4),"\",REPT(" ",50)),50)))),"00000000")</f>
        <v>16060061</v>
      </c>
      <c r="C3" t="str">
        <f t="shared" ref="C3:C66" si="1">IF(A3="","",$J$1&amp;"\"&amp;A3)</f>
        <v>T:\DHKT13C\16060061.mdf</v>
      </c>
      <c r="D3" s="10" t="s">
        <v>25</v>
      </c>
      <c r="E3" s="9" t="str">
        <f>"CREATE DATABASE ["&amp;F1&amp;"] ON (FILENAME = '"&amp;E1&amp;"') FOR ATTACH_REBUILD_LOG;"</f>
        <v>CREATE DATABASE [17046371] ON (FILENAME = 'T:\DHKT13C\17046371.mdf') FOR ATTACH_REBUILD_LOG;</v>
      </c>
      <c r="F3" s="9" t="str">
        <f>"RESTORE DATABASE ["&amp;F1&amp;"] FROM DISK = N'"&amp;E1&amp;"' WITH FILE = 1, MOVE N'"&amp;TruyVan!B7&amp;"' TO N'"&amp;SUBSTITUTE(E1,"mbk","mdf")&amp;"',MOVE N'"&amp;TruyVan!B8&amp;"' TO N'"&amp;SUBSTITUTE(E1,"mbk","ldf")&amp;"',NOUNLOAD, REPLACE"</f>
        <v>RESTORE DATABASE [17046371] FROM DISK = N'T:\DHKT13C\17046371.mdf' WITH FILE = 1, MOVE N'MISASME2015' TO N'T:\DHKT13C\17046371.mdf',MOVE N'MISASME2015_Log' TO N'T:\DHKT13C\17046371.mdf',NOUNLOAD, REPLACE</v>
      </c>
      <c r="AE3" s="10" t="s">
        <v>51</v>
      </c>
      <c r="AF3" s="9">
        <f>IF(DapAn!M6=0,0,SUM(BaiLam_DiemSDTH)/DapAn!M6*DapAn!B3)/10</f>
        <v>2.5</v>
      </c>
    </row>
    <row r="4" spans="1:53" x14ac:dyDescent="0.4">
      <c r="A4" t="s">
        <v>115</v>
      </c>
      <c r="B4" s="9" t="str">
        <f t="shared" ca="1" si="0"/>
        <v>17013461</v>
      </c>
      <c r="C4" t="str">
        <f t="shared" si="1"/>
        <v>T:\DHKT13C\17013461.mdf</v>
      </c>
      <c r="D4" s="10" t="s">
        <v>47</v>
      </c>
      <c r="E4" s="9" t="str">
        <f>"EXEC sp_detach_db 'BaiLam', 'true'"</f>
        <v>EXEC sp_detach_db 'BaiLam', 'true'</v>
      </c>
      <c r="F4" s="9" t="str">
        <f>"alter database ["&amp;F1&amp;"] set single_user with rollback immediate; DROP Database ["&amp;F1&amp;"]"</f>
        <v>alter database [17046371] set single_user with rollback immediate; DROP Database [17046371]</v>
      </c>
      <c r="AE4" s="10" t="s">
        <v>23</v>
      </c>
      <c r="AF4" s="9">
        <f>IF(DapAn!R6=0,0,SUM(BaiLam_NghiepVu)/DapAn!R6*DapAn!B4)/10</f>
        <v>1.3333333333333335</v>
      </c>
    </row>
    <row r="5" spans="1:53" x14ac:dyDescent="0.4">
      <c r="A5" t="s">
        <v>116</v>
      </c>
      <c r="B5" s="9" t="str">
        <f t="shared" ca="1" si="0"/>
        <v>17013531</v>
      </c>
      <c r="C5" t="str">
        <f t="shared" si="1"/>
        <v>T:\DHKT13C\17013531.mdf</v>
      </c>
      <c r="AE5" s="10" t="s">
        <v>74</v>
      </c>
      <c r="AF5" s="9">
        <f>IF(DapAn!U6=0,0,SUM(AD8:AD2000)/DapAn!U6*DapAn!B5)/10</f>
        <v>0</v>
      </c>
    </row>
    <row r="6" spans="1:53" x14ac:dyDescent="0.4">
      <c r="A6" t="s">
        <v>117</v>
      </c>
      <c r="B6" s="9" t="str">
        <f t="shared" ca="1" si="0"/>
        <v>17015101</v>
      </c>
      <c r="C6" t="str">
        <f t="shared" si="1"/>
        <v>T:\DHKT13C\17015101.mdf</v>
      </c>
      <c r="AE6" s="31" t="s">
        <v>61</v>
      </c>
      <c r="AF6" s="31">
        <f>SUM(AF1:AF5)</f>
        <v>5.3333333333333339</v>
      </c>
    </row>
    <row r="7" spans="1:53" x14ac:dyDescent="0.4">
      <c r="A7" t="s">
        <v>118</v>
      </c>
      <c r="B7" s="9" t="str">
        <f t="shared" ca="1" si="0"/>
        <v>17017531</v>
      </c>
      <c r="C7" t="str">
        <f t="shared" si="1"/>
        <v>T:\DHKT13C\17017531.mdf</v>
      </c>
      <c r="D7" s="14" t="s">
        <v>63</v>
      </c>
      <c r="E7" s="14" t="s">
        <v>64</v>
      </c>
      <c r="F7" s="14" t="s">
        <v>65</v>
      </c>
      <c r="G7" s="14" t="s">
        <v>52</v>
      </c>
      <c r="H7" s="15" t="s">
        <v>66</v>
      </c>
      <c r="I7" s="15" t="s">
        <v>67</v>
      </c>
      <c r="J7" s="15" t="s">
        <v>68</v>
      </c>
      <c r="K7" s="15" t="s">
        <v>69</v>
      </c>
      <c r="L7" s="15" t="s">
        <v>70</v>
      </c>
      <c r="M7" s="15" t="s">
        <v>52</v>
      </c>
      <c r="N7" s="19" t="s">
        <v>27</v>
      </c>
      <c r="O7" s="19" t="s">
        <v>28</v>
      </c>
      <c r="P7" s="19" t="s">
        <v>29</v>
      </c>
      <c r="Q7" s="19" t="s">
        <v>30</v>
      </c>
      <c r="R7" s="19" t="s">
        <v>31</v>
      </c>
      <c r="S7" s="19" t="s">
        <v>32</v>
      </c>
      <c r="T7" s="19" t="s">
        <v>52</v>
      </c>
      <c r="U7" s="20" t="s">
        <v>87</v>
      </c>
      <c r="V7" s="20" t="s">
        <v>33</v>
      </c>
      <c r="W7" s="20" t="s">
        <v>34</v>
      </c>
      <c r="X7" s="20" t="s">
        <v>35</v>
      </c>
      <c r="Y7" s="20" t="s">
        <v>32</v>
      </c>
      <c r="Z7" s="20" t="s">
        <v>52</v>
      </c>
      <c r="AA7" s="38" t="s">
        <v>88</v>
      </c>
      <c r="AB7" s="38" t="s">
        <v>89</v>
      </c>
      <c r="AC7" s="38" t="s">
        <v>90</v>
      </c>
      <c r="AD7" s="38" t="s">
        <v>52</v>
      </c>
      <c r="AE7" s="9" t="s">
        <v>102</v>
      </c>
    </row>
    <row r="8" spans="1:53" x14ac:dyDescent="0.4">
      <c r="A8" t="s">
        <v>119</v>
      </c>
      <c r="B8" s="9" t="str">
        <f t="shared" ca="1" si="0"/>
        <v>17042121</v>
      </c>
      <c r="C8" t="str">
        <f t="shared" si="1"/>
        <v>T:\DHKT13C\17042121.mdf</v>
      </c>
      <c r="D8" s="9">
        <v>8</v>
      </c>
      <c r="E8" s="9">
        <v>45180</v>
      </c>
      <c r="F8" s="9">
        <v>3043750000</v>
      </c>
      <c r="G8" s="9" t="b">
        <f>AND(D8=DapAn!A8,DapAn!B8=BaiLam!E8,BaiLam!F8=DapAn!C8)</f>
        <v>1</v>
      </c>
      <c r="H8" s="9">
        <v>63000000</v>
      </c>
      <c r="I8" s="9">
        <v>63000000</v>
      </c>
      <c r="J8" s="9">
        <v>21000000</v>
      </c>
      <c r="K8" s="9">
        <v>36</v>
      </c>
      <c r="L8" s="9">
        <v>24</v>
      </c>
      <c r="M8" s="9">
        <f>IF(H8="",0,IF(COUNTA($H$8:H8)&gt;DapAn!$H$6,-1,COUNTIFS(NguyenGiaTSCD,H8,GiaTriKhauHao,I8,HaoMonLuyKe,J8,TGSDTSCD,K8,TGSDCL,L8)&gt;0)*1)</f>
        <v>1</v>
      </c>
      <c r="N8" s="9" t="s">
        <v>125</v>
      </c>
      <c r="O8" s="9">
        <v>704093500</v>
      </c>
      <c r="P8" s="9">
        <v>704093500</v>
      </c>
      <c r="Q8" s="9">
        <v>0</v>
      </c>
      <c r="R8" s="9">
        <v>0</v>
      </c>
      <c r="S8" s="9">
        <v>0</v>
      </c>
      <c r="T8" s="9">
        <f t="shared" ref="T8:T71" si="2">(COUNTIFS(TH_TK,N8,TH_DuNo,O8,TH_DuNoNT,P8,TH_DuCo,Q8,TH_DuCoNT,R8,TH_SoLuong,S8)&gt;0)*1</f>
        <v>1</v>
      </c>
      <c r="U8" s="9">
        <v>103</v>
      </c>
      <c r="V8" s="9" t="s">
        <v>138</v>
      </c>
      <c r="W8" s="9">
        <v>38840000</v>
      </c>
      <c r="X8" s="9">
        <v>38840000</v>
      </c>
      <c r="Y8" s="9">
        <v>0</v>
      </c>
      <c r="Z8" s="9">
        <f t="shared" ref="Z8:Z71" si="3">(COUNTIFS(NV,U8,TK,V8,TongNo,W8,TongCo,X8,SoLuong,Y8)&gt;0)*1</f>
        <v>1</v>
      </c>
      <c r="AD8" s="9">
        <f t="shared" ref="AD8:AD71" si="4">COUNTIFS(ReportType,AA8,ItemCode,AB8,Amount,AC8)</f>
        <v>0</v>
      </c>
    </row>
    <row r="9" spans="1:53" x14ac:dyDescent="0.4">
      <c r="A9" t="s">
        <v>120</v>
      </c>
      <c r="B9" s="9" t="str">
        <f t="shared" ca="1" si="0"/>
        <v>17043041</v>
      </c>
      <c r="C9" t="str">
        <f t="shared" si="1"/>
        <v>T:\DHKT13C\17043041.mdf</v>
      </c>
      <c r="H9" s="9">
        <v>1260000000</v>
      </c>
      <c r="I9" s="9">
        <v>1260000000</v>
      </c>
      <c r="J9" s="9">
        <v>210000000</v>
      </c>
      <c r="K9" s="9">
        <v>72</v>
      </c>
      <c r="L9" s="9">
        <v>60</v>
      </c>
      <c r="M9" s="9">
        <f>IF(H9="",0,IF(COUNTA($H$8:H9)&gt;DapAn!$H$6,-1,COUNTIFS(NguyenGiaTSCD,H9,GiaTriKhauHao,I9,HaoMonLuyKe,J9,TGSDTSCD,K9,TGSDCL,L9)&gt;0)*1)</f>
        <v>1</v>
      </c>
      <c r="N9" s="9" t="s">
        <v>126</v>
      </c>
      <c r="O9" s="9">
        <v>1028000000</v>
      </c>
      <c r="P9" s="9">
        <v>1028000000</v>
      </c>
      <c r="Q9" s="9">
        <v>0</v>
      </c>
      <c r="R9" s="9">
        <v>0</v>
      </c>
      <c r="S9" s="9">
        <v>0</v>
      </c>
      <c r="T9" s="9">
        <f t="shared" si="2"/>
        <v>1</v>
      </c>
      <c r="U9" s="9">
        <v>103</v>
      </c>
      <c r="V9" s="32" t="s">
        <v>189</v>
      </c>
      <c r="W9" s="9">
        <v>388400000</v>
      </c>
      <c r="X9" s="9">
        <v>388400000</v>
      </c>
      <c r="Y9" s="9">
        <v>5200</v>
      </c>
      <c r="Z9" s="9">
        <f t="shared" si="3"/>
        <v>1</v>
      </c>
      <c r="AD9" s="9">
        <f t="shared" si="4"/>
        <v>0</v>
      </c>
      <c r="AE9" s="9" t="s">
        <v>108</v>
      </c>
    </row>
    <row r="10" spans="1:53" x14ac:dyDescent="0.4">
      <c r="A10" t="s">
        <v>121</v>
      </c>
      <c r="B10" s="9" t="str">
        <f t="shared" ca="1" si="0"/>
        <v>17046371</v>
      </c>
      <c r="C10" t="str">
        <f t="shared" si="1"/>
        <v>T:\DHKT13C\17046371.mdf</v>
      </c>
      <c r="M10" s="9">
        <f>IF(H10="",0,IF(COUNTA($H$8:H10)&gt;DapAn!$H$6,-1,COUNTIFS(NguyenGiaTSCD,H10,GiaTriKhauHao,I10,HaoMonLuyKe,J10,TGSDTSCD,K10,TGSDCL,L10)&gt;0)*1)</f>
        <v>0</v>
      </c>
      <c r="N10" s="9" t="s">
        <v>126</v>
      </c>
      <c r="O10" s="9">
        <v>2122000000</v>
      </c>
      <c r="P10" s="9">
        <v>2122000000</v>
      </c>
      <c r="Q10" s="9">
        <v>0</v>
      </c>
      <c r="R10" s="9">
        <v>0</v>
      </c>
      <c r="S10" s="9">
        <v>0</v>
      </c>
      <c r="T10" s="9">
        <f t="shared" si="2"/>
        <v>1</v>
      </c>
      <c r="U10" s="9">
        <v>103</v>
      </c>
      <c r="V10" s="9" t="s">
        <v>131</v>
      </c>
      <c r="W10" s="9">
        <v>-427240000</v>
      </c>
      <c r="X10" s="9">
        <v>-427240000</v>
      </c>
      <c r="Y10" s="9">
        <v>0</v>
      </c>
      <c r="Z10" s="9">
        <f t="shared" si="3"/>
        <v>1</v>
      </c>
      <c r="AD10" s="9">
        <f t="shared" si="4"/>
        <v>0</v>
      </c>
    </row>
    <row r="11" spans="1:53" x14ac:dyDescent="0.4">
      <c r="A11"/>
      <c r="B11" s="9" t="str">
        <f t="shared" ca="1" si="0"/>
        <v/>
      </c>
      <c r="C11" t="str">
        <f t="shared" si="1"/>
        <v/>
      </c>
      <c r="M11" s="9">
        <f>IF(H11="",0,IF(COUNTA($H$8:H11)&gt;DapAn!$H$6,-1,COUNTIFS(NguyenGiaTSCD,H11,GiaTriKhauHao,I11,HaoMonLuyKe,J11,TGSDTSCD,K11,TGSDCL,L11)&gt;0)*1)</f>
        <v>0</v>
      </c>
      <c r="N11" s="9" t="s">
        <v>127</v>
      </c>
      <c r="O11" s="9">
        <v>147000000</v>
      </c>
      <c r="P11" s="9">
        <v>147000000</v>
      </c>
      <c r="Q11" s="9">
        <v>0</v>
      </c>
      <c r="R11" s="9">
        <v>0</v>
      </c>
      <c r="S11" s="9">
        <v>0</v>
      </c>
      <c r="T11" s="9">
        <f t="shared" si="2"/>
        <v>1</v>
      </c>
      <c r="U11" s="9">
        <v>105</v>
      </c>
      <c r="V11" s="9" t="s">
        <v>126</v>
      </c>
      <c r="W11" s="9">
        <v>-200000000</v>
      </c>
      <c r="X11" s="9">
        <v>-200000000</v>
      </c>
      <c r="Y11" s="9">
        <v>0</v>
      </c>
      <c r="Z11" s="9">
        <f t="shared" si="3"/>
        <v>1</v>
      </c>
      <c r="AD11" s="9">
        <f t="shared" si="4"/>
        <v>0</v>
      </c>
    </row>
    <row r="12" spans="1:53" x14ac:dyDescent="0.4">
      <c r="A12"/>
      <c r="B12" s="9" t="str">
        <f t="shared" ca="1" si="0"/>
        <v/>
      </c>
      <c r="C12" t="str">
        <f t="shared" si="1"/>
        <v/>
      </c>
      <c r="M12" s="9">
        <f>IF(H12="",0,IF(COUNTA($H$8:H12)&gt;DapAn!$H$6,-1,COUNTIFS(NguyenGiaTSCD,H12,GiaTriKhauHao,I12,HaoMonLuyKe,J12,TGSDTSCD,K12,TGSDCL,L12)&gt;0)*1)</f>
        <v>0</v>
      </c>
      <c r="N12" s="9" t="s">
        <v>127</v>
      </c>
      <c r="O12" s="9">
        <v>572154000</v>
      </c>
      <c r="P12" s="9">
        <v>572154000</v>
      </c>
      <c r="Q12" s="9">
        <v>0</v>
      </c>
      <c r="R12" s="9">
        <v>0</v>
      </c>
      <c r="S12" s="9">
        <v>0</v>
      </c>
      <c r="T12" s="9">
        <f t="shared" si="2"/>
        <v>1</v>
      </c>
      <c r="U12" s="9">
        <v>105</v>
      </c>
      <c r="V12" s="9" t="s">
        <v>131</v>
      </c>
      <c r="W12" s="9">
        <v>200000000</v>
      </c>
      <c r="X12" s="9">
        <v>200000000</v>
      </c>
      <c r="Y12" s="9">
        <v>0</v>
      </c>
      <c r="Z12" s="9">
        <f t="shared" si="3"/>
        <v>1</v>
      </c>
      <c r="AD12" s="9">
        <f t="shared" si="4"/>
        <v>0</v>
      </c>
    </row>
    <row r="13" spans="1:53" x14ac:dyDescent="0.4">
      <c r="A13"/>
      <c r="B13" s="9" t="str">
        <f t="shared" ca="1" si="0"/>
        <v/>
      </c>
      <c r="C13" t="str">
        <f t="shared" si="1"/>
        <v/>
      </c>
      <c r="M13" s="9">
        <f>IF(H13="",0,IF(COUNTA($H$8:H13)&gt;DapAn!$H$6,-1,COUNTIFS(NguyenGiaTSCD,H13,GiaTriKhauHao,I13,HaoMonLuyKe,J13,TGSDTSCD,K13,TGSDCL,L13)&gt;0)*1)</f>
        <v>0</v>
      </c>
      <c r="N13" s="9" t="s">
        <v>127</v>
      </c>
      <c r="O13" s="9">
        <v>0</v>
      </c>
      <c r="P13" s="9">
        <v>0</v>
      </c>
      <c r="Q13" s="9">
        <v>324000000</v>
      </c>
      <c r="R13" s="9">
        <v>324000000</v>
      </c>
      <c r="S13" s="9">
        <v>0</v>
      </c>
      <c r="T13" s="9">
        <f t="shared" si="2"/>
        <v>1</v>
      </c>
      <c r="U13" s="9">
        <v>109</v>
      </c>
      <c r="V13" s="9" t="s">
        <v>127</v>
      </c>
      <c r="W13" s="9">
        <v>1716550000</v>
      </c>
      <c r="X13" s="9">
        <v>1716550000</v>
      </c>
      <c r="Y13" s="9">
        <v>0</v>
      </c>
      <c r="Z13" s="9">
        <f t="shared" si="3"/>
        <v>1</v>
      </c>
      <c r="AD13" s="9">
        <f t="shared" si="4"/>
        <v>0</v>
      </c>
    </row>
    <row r="14" spans="1:53" x14ac:dyDescent="0.4">
      <c r="A14"/>
      <c r="B14" s="9" t="str">
        <f t="shared" ca="1" si="0"/>
        <v/>
      </c>
      <c r="C14" t="str">
        <f t="shared" si="1"/>
        <v/>
      </c>
      <c r="M14" s="9">
        <f>IF(H14="",0,IF(COUNTA($H$8:H14)&gt;DapAn!$H$6,-1,COUNTIFS(NguyenGiaTSCD,H14,GiaTriKhauHao,I14,HaoMonLuyKe,J14,TGSDTSCD,K14,TGSDCL,L14)&gt;0)*1)</f>
        <v>0</v>
      </c>
      <c r="N14" s="9" t="s">
        <v>127</v>
      </c>
      <c r="O14" s="9">
        <v>0</v>
      </c>
      <c r="P14" s="9">
        <v>0</v>
      </c>
      <c r="Q14" s="9">
        <v>315000000</v>
      </c>
      <c r="R14" s="9">
        <v>315000000</v>
      </c>
      <c r="S14" s="9">
        <v>0</v>
      </c>
      <c r="T14" s="9">
        <f t="shared" si="2"/>
        <v>1</v>
      </c>
      <c r="U14" s="9">
        <v>109</v>
      </c>
      <c r="V14" s="9" t="s">
        <v>189</v>
      </c>
      <c r="W14" s="9">
        <v>-632381060</v>
      </c>
      <c r="X14" s="9">
        <v>-632381060</v>
      </c>
      <c r="Y14" s="9">
        <v>9200</v>
      </c>
      <c r="Z14" s="9">
        <f t="shared" si="3"/>
        <v>0</v>
      </c>
      <c r="AD14" s="9">
        <f t="shared" si="4"/>
        <v>0</v>
      </c>
    </row>
    <row r="15" spans="1:53" x14ac:dyDescent="0.4">
      <c r="A15"/>
      <c r="B15" s="9" t="str">
        <f t="shared" ca="1" si="0"/>
        <v/>
      </c>
      <c r="C15" t="str">
        <f t="shared" si="1"/>
        <v/>
      </c>
      <c r="M15" s="9">
        <f>IF(H15="",0,IF(COUNTA($H$8:H15)&gt;DapAn!$H$6,-1,COUNTIFS(NguyenGiaTSCD,H15,GiaTriKhauHao,I15,HaoMonLuyKe,J15,TGSDTSCD,K15,TGSDCL,L15)&gt;0)*1)</f>
        <v>0</v>
      </c>
      <c r="N15" s="9" t="s">
        <v>189</v>
      </c>
      <c r="O15" s="9">
        <v>1613650000</v>
      </c>
      <c r="P15" s="9">
        <v>1613650000</v>
      </c>
      <c r="Q15" s="9">
        <v>0</v>
      </c>
      <c r="R15" s="9">
        <v>0</v>
      </c>
      <c r="S15" s="9">
        <v>0</v>
      </c>
      <c r="T15" s="9">
        <f t="shared" si="2"/>
        <v>1</v>
      </c>
      <c r="U15" s="9">
        <v>109</v>
      </c>
      <c r="V15" s="9" t="s">
        <v>132</v>
      </c>
      <c r="W15" s="9">
        <v>-156050000</v>
      </c>
      <c r="X15" s="9">
        <v>-156050000</v>
      </c>
      <c r="Y15" s="9">
        <v>0</v>
      </c>
      <c r="Z15" s="9">
        <f t="shared" si="3"/>
        <v>1</v>
      </c>
      <c r="AD15" s="9">
        <f t="shared" si="4"/>
        <v>0</v>
      </c>
    </row>
    <row r="16" spans="1:53" x14ac:dyDescent="0.4">
      <c r="A16"/>
      <c r="B16" s="9" t="str">
        <f t="shared" ca="1" si="0"/>
        <v/>
      </c>
      <c r="C16" t="str">
        <f t="shared" si="1"/>
        <v/>
      </c>
      <c r="M16" s="9">
        <f>IF(H16="",0,IF(COUNTA($H$8:H16)&gt;DapAn!$H$6,-1,COUNTIFS(NguyenGiaTSCD,H16,GiaTriKhauHao,I16,HaoMonLuyKe,J16,TGSDTSCD,K16,TGSDCL,L16)&gt;0)*1)</f>
        <v>0</v>
      </c>
      <c r="N16" s="9" t="s">
        <v>393</v>
      </c>
      <c r="O16" s="9">
        <v>1430100000</v>
      </c>
      <c r="P16" s="9">
        <v>1430100000</v>
      </c>
      <c r="Q16" s="9">
        <v>0</v>
      </c>
      <c r="R16" s="9">
        <v>0</v>
      </c>
      <c r="S16" s="9">
        <v>0</v>
      </c>
      <c r="T16" s="9">
        <f t="shared" si="2"/>
        <v>1</v>
      </c>
      <c r="U16" s="9">
        <v>109</v>
      </c>
      <c r="V16" s="9" t="s">
        <v>135</v>
      </c>
      <c r="W16" s="9">
        <v>-1560500000</v>
      </c>
      <c r="X16" s="9">
        <v>-1560500000</v>
      </c>
      <c r="Y16" s="9">
        <v>9200</v>
      </c>
      <c r="Z16" s="9">
        <f t="shared" si="3"/>
        <v>1</v>
      </c>
      <c r="AD16" s="9">
        <f t="shared" si="4"/>
        <v>0</v>
      </c>
    </row>
    <row r="17" spans="1:30" x14ac:dyDescent="0.4">
      <c r="A17"/>
      <c r="B17" s="9" t="str">
        <f t="shared" ca="1" si="0"/>
        <v/>
      </c>
      <c r="C17" t="str">
        <f t="shared" si="1"/>
        <v/>
      </c>
      <c r="M17" s="9">
        <f>IF(H17="",0,IF(COUNTA($H$8:H17)&gt;DapAn!$H$6,-1,COUNTIFS(NguyenGiaTSCD,H17,GiaTriKhauHao,I17,HaoMonLuyKe,J17,TGSDTSCD,K17,TGSDCL,L17)&gt;0)*1)</f>
        <v>0</v>
      </c>
      <c r="N17" s="9" t="s">
        <v>129</v>
      </c>
      <c r="O17" s="9">
        <v>1260000000</v>
      </c>
      <c r="P17" s="9">
        <v>1260000000</v>
      </c>
      <c r="Q17" s="9">
        <v>0</v>
      </c>
      <c r="R17" s="9">
        <v>0</v>
      </c>
      <c r="S17" s="9">
        <v>0</v>
      </c>
      <c r="T17" s="9">
        <f t="shared" si="2"/>
        <v>1</v>
      </c>
      <c r="U17" s="9">
        <v>109</v>
      </c>
      <c r="V17" s="9" t="s">
        <v>136</v>
      </c>
      <c r="W17" s="9">
        <v>632381060</v>
      </c>
      <c r="X17" s="9">
        <v>632381060</v>
      </c>
      <c r="Y17" s="9">
        <v>0</v>
      </c>
      <c r="Z17" s="9">
        <f t="shared" si="3"/>
        <v>0</v>
      </c>
      <c r="AD17" s="9">
        <f t="shared" si="4"/>
        <v>0</v>
      </c>
    </row>
    <row r="18" spans="1:30" x14ac:dyDescent="0.4">
      <c r="A18"/>
      <c r="B18" s="9" t="str">
        <f t="shared" ca="1" si="0"/>
        <v/>
      </c>
      <c r="C18" t="str">
        <f t="shared" si="1"/>
        <v/>
      </c>
      <c r="M18" s="9">
        <f>IF(H18="",0,IF(COUNTA($H$8:H18)&gt;DapAn!$H$6,-1,COUNTIFS(NguyenGiaTSCD,H18,GiaTriKhauHao,I18,HaoMonLuyKe,J18,TGSDTSCD,K18,TGSDCL,L18)&gt;0)*1)</f>
        <v>0</v>
      </c>
      <c r="N18" s="9" t="s">
        <v>129</v>
      </c>
      <c r="O18" s="9">
        <v>63000000</v>
      </c>
      <c r="P18" s="9">
        <v>63000000</v>
      </c>
      <c r="Q18" s="9">
        <v>0</v>
      </c>
      <c r="R18" s="9">
        <v>0</v>
      </c>
      <c r="S18" s="9">
        <v>0</v>
      </c>
      <c r="T18" s="9">
        <f t="shared" si="2"/>
        <v>1</v>
      </c>
      <c r="U18" s="9">
        <v>130</v>
      </c>
      <c r="V18" s="9" t="s">
        <v>141</v>
      </c>
      <c r="W18" s="9">
        <v>-61000000</v>
      </c>
      <c r="X18" s="9">
        <v>-61000000</v>
      </c>
      <c r="Y18" s="9">
        <v>0</v>
      </c>
      <c r="Z18" s="9">
        <f t="shared" si="3"/>
        <v>0</v>
      </c>
      <c r="AD18" s="9">
        <f t="shared" si="4"/>
        <v>0</v>
      </c>
    </row>
    <row r="19" spans="1:30" x14ac:dyDescent="0.4">
      <c r="A19"/>
      <c r="B19" s="9" t="str">
        <f t="shared" ca="1" si="0"/>
        <v/>
      </c>
      <c r="C19" t="str">
        <f t="shared" si="1"/>
        <v/>
      </c>
      <c r="M19" s="9">
        <f>IF(H19="",0,IF(COUNTA($H$8:H19)&gt;DapAn!$H$6,-1,COUNTIFS(NguyenGiaTSCD,H19,GiaTriKhauHao,I19,HaoMonLuyKe,J19,TGSDTSCD,K19,TGSDCL,L19)&gt;0)*1)</f>
        <v>0</v>
      </c>
      <c r="N19" s="9" t="s">
        <v>130</v>
      </c>
      <c r="O19" s="9">
        <v>0</v>
      </c>
      <c r="P19" s="9">
        <v>0</v>
      </c>
      <c r="Q19" s="9">
        <v>231000000</v>
      </c>
      <c r="R19" s="9">
        <v>231000000</v>
      </c>
      <c r="S19" s="9">
        <v>0</v>
      </c>
      <c r="T19" s="9">
        <f t="shared" si="2"/>
        <v>1</v>
      </c>
      <c r="U19" s="9">
        <v>130</v>
      </c>
      <c r="V19" s="9" t="s">
        <v>142</v>
      </c>
      <c r="W19" s="9">
        <v>-8045000</v>
      </c>
      <c r="X19" s="9">
        <v>-8045000</v>
      </c>
      <c r="Y19" s="9">
        <v>0</v>
      </c>
      <c r="Z19" s="9">
        <f t="shared" si="3"/>
        <v>0</v>
      </c>
      <c r="AD19" s="9">
        <f t="shared" si="4"/>
        <v>0</v>
      </c>
    </row>
    <row r="20" spans="1:30" x14ac:dyDescent="0.4">
      <c r="A20"/>
      <c r="B20" s="9" t="str">
        <f t="shared" ca="1" si="0"/>
        <v/>
      </c>
      <c r="C20" t="str">
        <f t="shared" si="1"/>
        <v/>
      </c>
      <c r="M20" s="9">
        <f>IF(H20="",0,IF(COUNTA($H$8:H20)&gt;DapAn!$H$6,-1,COUNTIFS(NguyenGiaTSCD,H20,GiaTriKhauHao,I20,HaoMonLuyKe,J20,TGSDTSCD,K20,TGSDCL,L20)&gt;0)*1)</f>
        <v>0</v>
      </c>
      <c r="N20" s="9" t="s">
        <v>140</v>
      </c>
      <c r="O20" s="9">
        <v>5280000000</v>
      </c>
      <c r="P20" s="9">
        <v>5280000000</v>
      </c>
      <c r="Q20" s="9">
        <v>0</v>
      </c>
      <c r="R20" s="9">
        <v>0</v>
      </c>
      <c r="S20" s="9">
        <v>0</v>
      </c>
      <c r="T20" s="9">
        <f t="shared" si="2"/>
        <v>1</v>
      </c>
      <c r="U20" s="9">
        <v>130</v>
      </c>
      <c r="V20" s="9" t="s">
        <v>139</v>
      </c>
      <c r="W20" s="9">
        <v>35000000</v>
      </c>
      <c r="X20" s="9">
        <v>35000000</v>
      </c>
      <c r="Y20" s="9">
        <v>0</v>
      </c>
      <c r="Z20" s="9">
        <f t="shared" si="3"/>
        <v>0</v>
      </c>
      <c r="AD20" s="9">
        <f t="shared" si="4"/>
        <v>0</v>
      </c>
    </row>
    <row r="21" spans="1:30" x14ac:dyDescent="0.4">
      <c r="A21"/>
      <c r="B21" s="9" t="str">
        <f t="shared" ca="1" si="0"/>
        <v/>
      </c>
      <c r="C21" t="str">
        <f t="shared" si="1"/>
        <v/>
      </c>
      <c r="M21" s="9">
        <f>IF(H21="",0,IF(COUNTA($H$8:H21)&gt;DapAn!$H$6,-1,COUNTIFS(NguyenGiaTSCD,H21,GiaTriKhauHao,I21,HaoMonLuyKe,J21,TGSDTSCD,K21,TGSDCL,L21)&gt;0)*1)</f>
        <v>0</v>
      </c>
      <c r="N21" s="9" t="s">
        <v>131</v>
      </c>
      <c r="O21" s="9">
        <v>0</v>
      </c>
      <c r="P21" s="9">
        <v>0</v>
      </c>
      <c r="Q21" s="9">
        <v>1257700000</v>
      </c>
      <c r="R21" s="9">
        <v>1257700000</v>
      </c>
      <c r="S21" s="9">
        <v>0</v>
      </c>
      <c r="T21" s="9">
        <f t="shared" si="2"/>
        <v>1</v>
      </c>
      <c r="U21" s="9">
        <v>130</v>
      </c>
      <c r="V21" s="9" t="s">
        <v>143</v>
      </c>
      <c r="W21" s="9">
        <v>34045000</v>
      </c>
      <c r="X21" s="9">
        <v>34045000</v>
      </c>
      <c r="Y21" s="9">
        <v>0</v>
      </c>
      <c r="Z21" s="9">
        <f t="shared" si="3"/>
        <v>0</v>
      </c>
      <c r="AD21" s="9">
        <f t="shared" si="4"/>
        <v>0</v>
      </c>
    </row>
    <row r="22" spans="1:30" x14ac:dyDescent="0.4">
      <c r="A22"/>
      <c r="B22" s="9" t="str">
        <f t="shared" ca="1" si="0"/>
        <v/>
      </c>
      <c r="C22" t="str">
        <f t="shared" si="1"/>
        <v/>
      </c>
      <c r="M22" s="9">
        <f>IF(H22="",0,IF(COUNTA($H$8:H22)&gt;DapAn!$H$6,-1,COUNTIFS(NguyenGiaTSCD,H22,GiaTriKhauHao,I22,HaoMonLuyKe,J22,TGSDTSCD,K22,TGSDCL,L22)&gt;0)*1)</f>
        <v>0</v>
      </c>
      <c r="N22" s="9" t="s">
        <v>131</v>
      </c>
      <c r="O22" s="9">
        <v>137698000</v>
      </c>
      <c r="P22" s="9">
        <v>137698000</v>
      </c>
      <c r="Q22" s="9">
        <v>0</v>
      </c>
      <c r="R22" s="9">
        <v>0</v>
      </c>
      <c r="S22" s="9">
        <v>0</v>
      </c>
      <c r="T22" s="9">
        <f t="shared" si="2"/>
        <v>1</v>
      </c>
      <c r="U22" s="9">
        <v>512</v>
      </c>
      <c r="V22" s="9" t="s">
        <v>126</v>
      </c>
      <c r="W22" s="9">
        <v>1716550000</v>
      </c>
      <c r="X22" s="9">
        <v>1716550000</v>
      </c>
      <c r="Y22" s="9">
        <v>0</v>
      </c>
      <c r="Z22" s="9">
        <f t="shared" si="3"/>
        <v>0</v>
      </c>
      <c r="AD22" s="9">
        <f t="shared" si="4"/>
        <v>0</v>
      </c>
    </row>
    <row r="23" spans="1:30" x14ac:dyDescent="0.4">
      <c r="A23"/>
      <c r="B23" s="9" t="str">
        <f t="shared" ca="1" si="0"/>
        <v/>
      </c>
      <c r="C23" t="str">
        <f t="shared" si="1"/>
        <v/>
      </c>
      <c r="M23" s="9">
        <f>IF(H23="",0,IF(COUNTA($H$8:H23)&gt;DapAn!$H$6,-1,COUNTIFS(NguyenGiaTSCD,H23,GiaTriKhauHao,I23,HaoMonLuyKe,J23,TGSDTSCD,K23,TGSDCL,L23)&gt;0)*1)</f>
        <v>0</v>
      </c>
      <c r="N23" s="9" t="s">
        <v>131</v>
      </c>
      <c r="O23" s="9">
        <v>0</v>
      </c>
      <c r="P23" s="9">
        <v>0</v>
      </c>
      <c r="Q23" s="9">
        <v>574000000</v>
      </c>
      <c r="R23" s="9">
        <v>574000000</v>
      </c>
      <c r="S23" s="9">
        <v>0</v>
      </c>
      <c r="T23" s="9">
        <f t="shared" si="2"/>
        <v>1</v>
      </c>
      <c r="U23" s="9">
        <v>512</v>
      </c>
      <c r="V23" s="9" t="s">
        <v>127</v>
      </c>
      <c r="W23" s="9">
        <v>-1716550000</v>
      </c>
      <c r="X23" s="9">
        <v>-1716550000</v>
      </c>
      <c r="Y23" s="9">
        <v>0</v>
      </c>
      <c r="Z23" s="9">
        <f t="shared" si="3"/>
        <v>0</v>
      </c>
      <c r="AD23" s="9">
        <f t="shared" si="4"/>
        <v>0</v>
      </c>
    </row>
    <row r="24" spans="1:30" x14ac:dyDescent="0.4">
      <c r="A24"/>
      <c r="B24" s="9" t="str">
        <f t="shared" ca="1" si="0"/>
        <v/>
      </c>
      <c r="C24" t="str">
        <f t="shared" si="1"/>
        <v/>
      </c>
      <c r="M24" s="9">
        <f>IF(H24="",0,IF(COUNTA($H$8:H24)&gt;DapAn!$H$6,-1,COUNTIFS(NguyenGiaTSCD,H24,GiaTriKhauHao,I24,HaoMonLuyKe,J24,TGSDTSCD,K24,TGSDCL,L24)&gt;0)*1)</f>
        <v>0</v>
      </c>
      <c r="N24" s="9" t="s">
        <v>131</v>
      </c>
      <c r="O24" s="9">
        <v>215000000</v>
      </c>
      <c r="P24" s="9">
        <v>215000000</v>
      </c>
      <c r="Q24" s="9">
        <v>0</v>
      </c>
      <c r="R24" s="9">
        <v>0</v>
      </c>
      <c r="S24" s="9">
        <v>0</v>
      </c>
      <c r="T24" s="9">
        <f t="shared" si="2"/>
        <v>1</v>
      </c>
      <c r="U24" s="9">
        <v>518</v>
      </c>
      <c r="V24" s="9" t="s">
        <v>126</v>
      </c>
      <c r="W24" s="9">
        <v>-89542000</v>
      </c>
      <c r="X24" s="9">
        <v>-89542000</v>
      </c>
      <c r="Y24" s="9">
        <v>0</v>
      </c>
      <c r="Z24" s="9">
        <f t="shared" si="3"/>
        <v>0</v>
      </c>
      <c r="AD24" s="9">
        <f t="shared" si="4"/>
        <v>0</v>
      </c>
    </row>
    <row r="25" spans="1:30" x14ac:dyDescent="0.4">
      <c r="A25"/>
      <c r="B25" s="9" t="str">
        <f t="shared" ca="1" si="0"/>
        <v/>
      </c>
      <c r="C25" t="str">
        <f t="shared" si="1"/>
        <v/>
      </c>
      <c r="M25" s="9">
        <f>IF(H25="",0,IF(COUNTA($H$8:H25)&gt;DapAn!$H$6,-1,COUNTIFS(NguyenGiaTSCD,H25,GiaTriKhauHao,I25,HaoMonLuyKe,J25,TGSDTSCD,K25,TGSDCL,L25)&gt;0)*1)</f>
        <v>0</v>
      </c>
      <c r="N25" s="9" t="s">
        <v>394</v>
      </c>
      <c r="O25" s="9">
        <v>0</v>
      </c>
      <c r="P25" s="9">
        <v>0</v>
      </c>
      <c r="Q25" s="9">
        <v>278964521</v>
      </c>
      <c r="R25" s="9">
        <v>278964521</v>
      </c>
      <c r="S25" s="9">
        <v>0</v>
      </c>
      <c r="T25" s="9">
        <f t="shared" si="2"/>
        <v>1</v>
      </c>
      <c r="U25" s="9">
        <v>518</v>
      </c>
      <c r="V25" s="9" t="s">
        <v>131</v>
      </c>
      <c r="W25" s="9">
        <v>89542000</v>
      </c>
      <c r="X25" s="9">
        <v>89542000</v>
      </c>
      <c r="Y25" s="9">
        <v>0</v>
      </c>
      <c r="Z25" s="9">
        <f t="shared" si="3"/>
        <v>0</v>
      </c>
      <c r="AD25" s="9">
        <f t="shared" si="4"/>
        <v>0</v>
      </c>
    </row>
    <row r="26" spans="1:30" x14ac:dyDescent="0.4">
      <c r="A26"/>
      <c r="B26" s="9" t="str">
        <f t="shared" ca="1" si="0"/>
        <v/>
      </c>
      <c r="C26" t="str">
        <f t="shared" si="1"/>
        <v/>
      </c>
      <c r="M26" s="9">
        <f>IF(H26="",0,IF(COUNTA($H$8:H26)&gt;DapAn!$H$6,-1,COUNTIFS(NguyenGiaTSCD,H26,GiaTriKhauHao,I26,HaoMonLuyKe,J26,TGSDTSCD,K26,TGSDCL,L26)&gt;0)*1)</f>
        <v>0</v>
      </c>
      <c r="N26" s="9" t="s">
        <v>394</v>
      </c>
      <c r="O26" s="9">
        <v>0</v>
      </c>
      <c r="P26" s="9">
        <v>0</v>
      </c>
      <c r="Q26" s="9">
        <v>375698203</v>
      </c>
      <c r="R26" s="9">
        <v>375698203</v>
      </c>
      <c r="S26" s="9">
        <v>0</v>
      </c>
      <c r="T26" s="9">
        <f t="shared" si="2"/>
        <v>1</v>
      </c>
      <c r="U26" s="9">
        <v>531</v>
      </c>
      <c r="V26" s="9" t="s">
        <v>134</v>
      </c>
      <c r="W26" s="9">
        <v>-859073940</v>
      </c>
      <c r="X26" s="9">
        <v>-859073940</v>
      </c>
      <c r="Y26" s="9">
        <v>0</v>
      </c>
      <c r="Z26" s="9">
        <f t="shared" si="3"/>
        <v>0</v>
      </c>
      <c r="AD26" s="9">
        <f t="shared" si="4"/>
        <v>0</v>
      </c>
    </row>
    <row r="27" spans="1:30" x14ac:dyDescent="0.4">
      <c r="A27"/>
      <c r="B27" s="9" t="str">
        <f t="shared" ca="1" si="0"/>
        <v/>
      </c>
      <c r="C27" t="str">
        <f t="shared" si="1"/>
        <v/>
      </c>
      <c r="M27" s="9">
        <f>IF(H27="",0,IF(COUNTA($H$8:H27)&gt;DapAn!$H$6,-1,COUNTIFS(NguyenGiaTSCD,H27,GiaTriKhauHao,I27,HaoMonLuyKe,J27,TGSDTSCD,K27,TGSDCL,L27)&gt;0)*1)</f>
        <v>0</v>
      </c>
      <c r="N27" s="9" t="s">
        <v>133</v>
      </c>
      <c r="O27" s="9">
        <v>0</v>
      </c>
      <c r="P27" s="9">
        <v>0</v>
      </c>
      <c r="Q27" s="9">
        <v>9572695500</v>
      </c>
      <c r="R27" s="9">
        <v>9572695500</v>
      </c>
      <c r="S27" s="9">
        <v>0</v>
      </c>
      <c r="T27" s="9">
        <f t="shared" si="2"/>
        <v>1</v>
      </c>
      <c r="U27" s="9">
        <v>531</v>
      </c>
      <c r="V27" s="9" t="s">
        <v>135</v>
      </c>
      <c r="W27" s="9">
        <v>1560500000</v>
      </c>
      <c r="X27" s="9">
        <v>1560500000</v>
      </c>
      <c r="Y27" s="9">
        <v>0</v>
      </c>
      <c r="Z27" s="9">
        <f t="shared" si="3"/>
        <v>0</v>
      </c>
      <c r="AD27" s="9">
        <f t="shared" si="4"/>
        <v>0</v>
      </c>
    </row>
    <row r="28" spans="1:30" x14ac:dyDescent="0.4">
      <c r="A28"/>
      <c r="B28" s="9" t="str">
        <f t="shared" ca="1" si="0"/>
        <v/>
      </c>
      <c r="C28" t="str">
        <f t="shared" si="1"/>
        <v/>
      </c>
      <c r="M28" s="9">
        <f>IF(H28="",0,IF(COUNTA($H$8:H28)&gt;DapAn!$H$6,-1,COUNTIFS(NguyenGiaTSCD,H28,GiaTriKhauHao,I28,HaoMonLuyKe,J28,TGSDTSCD,K28,TGSDCL,L28)&gt;0)*1)</f>
        <v>0</v>
      </c>
      <c r="N28" s="9" t="s">
        <v>134</v>
      </c>
      <c r="O28" s="9">
        <v>0</v>
      </c>
      <c r="P28" s="9">
        <v>0</v>
      </c>
      <c r="Q28" s="9">
        <v>521980780</v>
      </c>
      <c r="R28" s="9">
        <v>521980780</v>
      </c>
      <c r="S28" s="9">
        <v>0</v>
      </c>
      <c r="T28" s="9">
        <f t="shared" si="2"/>
        <v>1</v>
      </c>
      <c r="U28" s="9">
        <v>531</v>
      </c>
      <c r="V28" s="9" t="s">
        <v>136</v>
      </c>
      <c r="W28" s="9">
        <v>-632381060</v>
      </c>
      <c r="X28" s="9">
        <v>-632381060</v>
      </c>
      <c r="Y28" s="9">
        <v>0</v>
      </c>
      <c r="Z28" s="9">
        <f t="shared" si="3"/>
        <v>0</v>
      </c>
      <c r="AD28" s="9">
        <f t="shared" si="4"/>
        <v>0</v>
      </c>
    </row>
    <row r="29" spans="1:30" x14ac:dyDescent="0.4">
      <c r="A29"/>
      <c r="B29" s="9" t="str">
        <f t="shared" ca="1" si="0"/>
        <v/>
      </c>
      <c r="C29" t="str">
        <f t="shared" si="1"/>
        <v/>
      </c>
      <c r="M29" s="9">
        <f>IF(H29="",0,IF(COUNTA($H$8:H29)&gt;DapAn!$H$6,-1,COUNTIFS(NguyenGiaTSCD,H29,GiaTriKhauHao,I29,HaoMonLuyKe,J29,TGSDTSCD,K29,TGSDCL,L29)&gt;0)*1)</f>
        <v>0</v>
      </c>
      <c r="N29" s="9" t="s">
        <v>134</v>
      </c>
      <c r="O29" s="9">
        <v>0</v>
      </c>
      <c r="P29" s="9">
        <v>0</v>
      </c>
      <c r="Q29" s="9">
        <v>1121656496</v>
      </c>
      <c r="R29" s="9">
        <v>1121656496</v>
      </c>
      <c r="S29" s="9">
        <v>0</v>
      </c>
      <c r="T29" s="9">
        <f t="shared" si="2"/>
        <v>1</v>
      </c>
      <c r="U29" s="9">
        <v>531</v>
      </c>
      <c r="V29" s="9" t="s">
        <v>139</v>
      </c>
      <c r="W29" s="9">
        <v>-35000000</v>
      </c>
      <c r="X29" s="9">
        <v>-35000000</v>
      </c>
      <c r="Y29" s="9">
        <v>0</v>
      </c>
      <c r="Z29" s="9">
        <f t="shared" si="3"/>
        <v>0</v>
      </c>
      <c r="AD29" s="9">
        <f t="shared" si="4"/>
        <v>0</v>
      </c>
    </row>
    <row r="30" spans="1:30" x14ac:dyDescent="0.4">
      <c r="A30"/>
      <c r="B30" s="9" t="str">
        <f t="shared" ca="1" si="0"/>
        <v/>
      </c>
      <c r="C30" t="str">
        <f t="shared" si="1"/>
        <v/>
      </c>
      <c r="M30" s="9">
        <f>IF(H30="",0,IF(COUNTA($H$8:H30)&gt;DapAn!$H$6,-1,COUNTIFS(NguyenGiaTSCD,H30,GiaTriKhauHao,I30,HaoMonLuyKe,J30,TGSDTSCD,K30,TGSDCL,L30)&gt;0)*1)</f>
        <v>0</v>
      </c>
      <c r="T30" s="9">
        <f t="shared" si="2"/>
        <v>0</v>
      </c>
      <c r="U30" s="9">
        <v>531</v>
      </c>
      <c r="V30" s="9" t="s">
        <v>143</v>
      </c>
      <c r="W30" s="9">
        <v>-34045000</v>
      </c>
      <c r="X30" s="9">
        <v>-34045000</v>
      </c>
      <c r="Y30" s="9">
        <v>0</v>
      </c>
      <c r="Z30" s="9">
        <f t="shared" si="3"/>
        <v>0</v>
      </c>
      <c r="AD30" s="9">
        <f t="shared" si="4"/>
        <v>0</v>
      </c>
    </row>
    <row r="31" spans="1:30" x14ac:dyDescent="0.4">
      <c r="A31"/>
      <c r="B31" s="9" t="str">
        <f t="shared" ca="1" si="0"/>
        <v/>
      </c>
      <c r="C31" t="str">
        <f t="shared" si="1"/>
        <v/>
      </c>
      <c r="M31" s="9">
        <f>IF(H31="",0,IF(COUNTA($H$8:H31)&gt;DapAn!$H$6,-1,COUNTIFS(NguyenGiaTSCD,H31,GiaTriKhauHao,I31,HaoMonLuyKe,J31,TGSDTSCD,K31,TGSDCL,L31)&gt;0)*1)</f>
        <v>0</v>
      </c>
      <c r="T31" s="9">
        <f t="shared" si="2"/>
        <v>0</v>
      </c>
      <c r="Z31" s="9">
        <f t="shared" si="3"/>
        <v>0</v>
      </c>
      <c r="AD31" s="9">
        <f t="shared" si="4"/>
        <v>0</v>
      </c>
    </row>
    <row r="32" spans="1:30" x14ac:dyDescent="0.4">
      <c r="A32"/>
      <c r="B32" s="9" t="str">
        <f t="shared" ca="1" si="0"/>
        <v/>
      </c>
      <c r="C32" t="str">
        <f t="shared" si="1"/>
        <v/>
      </c>
      <c r="M32" s="9">
        <f>IF(H32="",0,IF(COUNTA($H$8:H32)&gt;DapAn!$H$6,-1,COUNTIFS(NguyenGiaTSCD,H32,GiaTriKhauHao,I32,HaoMonLuyKe,J32,TGSDTSCD,K32,TGSDCL,L32)&gt;0)*1)</f>
        <v>0</v>
      </c>
      <c r="T32" s="9">
        <f t="shared" si="2"/>
        <v>0</v>
      </c>
      <c r="Z32" s="9">
        <f t="shared" si="3"/>
        <v>0</v>
      </c>
      <c r="AD32" s="9">
        <f t="shared" si="4"/>
        <v>0</v>
      </c>
    </row>
    <row r="33" spans="1:30" x14ac:dyDescent="0.4">
      <c r="A33"/>
      <c r="B33" s="9" t="str">
        <f t="shared" ca="1" si="0"/>
        <v/>
      </c>
      <c r="C33" t="str">
        <f t="shared" si="1"/>
        <v/>
      </c>
      <c r="M33" s="9">
        <f>IF(H33="",0,IF(COUNTA($H$8:H33)&gt;DapAn!$H$6,-1,COUNTIFS(NguyenGiaTSCD,H33,GiaTriKhauHao,I33,HaoMonLuyKe,J33,TGSDTSCD,K33,TGSDCL,L33)&gt;0)*1)</f>
        <v>0</v>
      </c>
      <c r="T33" s="9">
        <f t="shared" si="2"/>
        <v>0</v>
      </c>
      <c r="Z33" s="9">
        <f t="shared" si="3"/>
        <v>0</v>
      </c>
      <c r="AD33" s="9">
        <f t="shared" si="4"/>
        <v>0</v>
      </c>
    </row>
    <row r="34" spans="1:30" x14ac:dyDescent="0.4">
      <c r="A34"/>
      <c r="B34" s="9" t="str">
        <f t="shared" ca="1" si="0"/>
        <v/>
      </c>
      <c r="C34" t="str">
        <f t="shared" si="1"/>
        <v/>
      </c>
      <c r="M34" s="9">
        <f>IF(H34="",0,IF(COUNTA($H$8:H34)&gt;DapAn!$H$6,-1,COUNTIFS(NguyenGiaTSCD,H34,GiaTriKhauHao,I34,HaoMonLuyKe,J34,TGSDTSCD,K34,TGSDCL,L34)&gt;0)*1)</f>
        <v>0</v>
      </c>
      <c r="T34" s="9">
        <f t="shared" si="2"/>
        <v>0</v>
      </c>
      <c r="Z34" s="9">
        <f t="shared" si="3"/>
        <v>0</v>
      </c>
      <c r="AD34" s="9">
        <f t="shared" si="4"/>
        <v>0</v>
      </c>
    </row>
    <row r="35" spans="1:30" x14ac:dyDescent="0.4">
      <c r="A35"/>
      <c r="B35" s="9" t="str">
        <f t="shared" ca="1" si="0"/>
        <v/>
      </c>
      <c r="C35" t="str">
        <f t="shared" si="1"/>
        <v/>
      </c>
      <c r="M35" s="9">
        <f>IF(H35="",0,IF(COUNTA($H$8:H35)&gt;DapAn!$H$6,-1,COUNTIFS(NguyenGiaTSCD,H35,GiaTriKhauHao,I35,HaoMonLuyKe,J35,TGSDTSCD,K35,TGSDCL,L35)&gt;0)*1)</f>
        <v>0</v>
      </c>
      <c r="T35" s="9">
        <f t="shared" si="2"/>
        <v>0</v>
      </c>
      <c r="Z35" s="9">
        <f t="shared" si="3"/>
        <v>0</v>
      </c>
      <c r="AD35" s="9">
        <f t="shared" si="4"/>
        <v>0</v>
      </c>
    </row>
    <row r="36" spans="1:30" x14ac:dyDescent="0.4">
      <c r="A36"/>
      <c r="B36" s="9" t="str">
        <f t="shared" ca="1" si="0"/>
        <v/>
      </c>
      <c r="C36" t="str">
        <f t="shared" si="1"/>
        <v/>
      </c>
      <c r="M36" s="9">
        <f>IF(H36="",0,IF(COUNTA($H$8:H36)&gt;DapAn!$H$6,-1,COUNTIFS(NguyenGiaTSCD,H36,GiaTriKhauHao,I36,HaoMonLuyKe,J36,TGSDTSCD,K36,TGSDCL,L36)&gt;0)*1)</f>
        <v>0</v>
      </c>
      <c r="T36" s="9">
        <f t="shared" si="2"/>
        <v>0</v>
      </c>
      <c r="Z36" s="9">
        <f t="shared" si="3"/>
        <v>0</v>
      </c>
      <c r="AD36" s="9">
        <f t="shared" si="4"/>
        <v>0</v>
      </c>
    </row>
    <row r="37" spans="1:30" x14ac:dyDescent="0.4">
      <c r="A37"/>
      <c r="B37" s="9" t="str">
        <f t="shared" ca="1" si="0"/>
        <v/>
      </c>
      <c r="C37" t="str">
        <f t="shared" si="1"/>
        <v/>
      </c>
      <c r="M37" s="9">
        <f>IF(H37="",0,IF(COUNTA($H$8:H37)&gt;DapAn!$H$6,-1,COUNTIFS(NguyenGiaTSCD,H37,GiaTriKhauHao,I37,HaoMonLuyKe,J37,TGSDTSCD,K37,TGSDCL,L37)&gt;0)*1)</f>
        <v>0</v>
      </c>
      <c r="T37" s="9">
        <f t="shared" si="2"/>
        <v>0</v>
      </c>
      <c r="Z37" s="9">
        <f t="shared" si="3"/>
        <v>0</v>
      </c>
      <c r="AD37" s="9">
        <f t="shared" si="4"/>
        <v>0</v>
      </c>
    </row>
    <row r="38" spans="1:30" x14ac:dyDescent="0.4">
      <c r="A38"/>
      <c r="B38" s="9" t="str">
        <f t="shared" ca="1" si="0"/>
        <v/>
      </c>
      <c r="C38" t="str">
        <f t="shared" si="1"/>
        <v/>
      </c>
      <c r="M38" s="9">
        <f>IF(H38="",0,IF(COUNTA($H$8:H38)&gt;DapAn!$H$6,-1,COUNTIFS(NguyenGiaTSCD,H38,GiaTriKhauHao,I38,HaoMonLuyKe,J38,TGSDTSCD,K38,TGSDCL,L38)&gt;0)*1)</f>
        <v>0</v>
      </c>
      <c r="T38" s="9">
        <f t="shared" si="2"/>
        <v>0</v>
      </c>
      <c r="Z38" s="9">
        <f t="shared" si="3"/>
        <v>0</v>
      </c>
      <c r="AD38" s="9">
        <f t="shared" si="4"/>
        <v>0</v>
      </c>
    </row>
    <row r="39" spans="1:30" x14ac:dyDescent="0.4">
      <c r="A39"/>
      <c r="B39" s="9" t="str">
        <f t="shared" ca="1" si="0"/>
        <v/>
      </c>
      <c r="C39" t="str">
        <f t="shared" si="1"/>
        <v/>
      </c>
      <c r="M39" s="9">
        <f>IF(H39="",0,IF(COUNTA($H$8:H39)&gt;DapAn!$H$6,-1,COUNTIFS(NguyenGiaTSCD,H39,GiaTriKhauHao,I39,HaoMonLuyKe,J39,TGSDTSCD,K39,TGSDCL,L39)&gt;0)*1)</f>
        <v>0</v>
      </c>
      <c r="T39" s="9">
        <f t="shared" si="2"/>
        <v>0</v>
      </c>
      <c r="Z39" s="9">
        <f t="shared" si="3"/>
        <v>0</v>
      </c>
      <c r="AD39" s="9">
        <f t="shared" si="4"/>
        <v>0</v>
      </c>
    </row>
    <row r="40" spans="1:30" x14ac:dyDescent="0.4">
      <c r="A40"/>
      <c r="B40" s="9" t="str">
        <f t="shared" ca="1" si="0"/>
        <v/>
      </c>
      <c r="C40" t="str">
        <f t="shared" si="1"/>
        <v/>
      </c>
      <c r="M40" s="9">
        <f>IF(H40="",0,IF(COUNTA($H$8:H40)&gt;DapAn!$H$6,-1,COUNTIFS(NguyenGiaTSCD,H40,GiaTriKhauHao,I40,HaoMonLuyKe,J40,TGSDTSCD,K40,TGSDCL,L40)&gt;0)*1)</f>
        <v>0</v>
      </c>
      <c r="T40" s="9">
        <f t="shared" si="2"/>
        <v>0</v>
      </c>
      <c r="Z40" s="9">
        <f t="shared" si="3"/>
        <v>0</v>
      </c>
      <c r="AD40" s="9">
        <f t="shared" si="4"/>
        <v>0</v>
      </c>
    </row>
    <row r="41" spans="1:30" x14ac:dyDescent="0.4">
      <c r="A41"/>
      <c r="B41" s="9" t="str">
        <f t="shared" ca="1" si="0"/>
        <v/>
      </c>
      <c r="C41" t="str">
        <f t="shared" si="1"/>
        <v/>
      </c>
      <c r="M41" s="9">
        <f>IF(H41="",0,IF(COUNTA($H$8:H41)&gt;DapAn!$H$6,-1,COUNTIFS(NguyenGiaTSCD,H41,GiaTriKhauHao,I41,HaoMonLuyKe,J41,TGSDTSCD,K41,TGSDCL,L41)&gt;0)*1)</f>
        <v>0</v>
      </c>
      <c r="T41" s="9">
        <f t="shared" si="2"/>
        <v>0</v>
      </c>
      <c r="Z41" s="9">
        <f t="shared" si="3"/>
        <v>0</v>
      </c>
      <c r="AD41" s="9">
        <f t="shared" si="4"/>
        <v>0</v>
      </c>
    </row>
    <row r="42" spans="1:30" x14ac:dyDescent="0.4">
      <c r="A42"/>
      <c r="B42" s="9" t="str">
        <f t="shared" ca="1" si="0"/>
        <v/>
      </c>
      <c r="C42" t="str">
        <f t="shared" si="1"/>
        <v/>
      </c>
      <c r="M42" s="9">
        <f>IF(H42="",0,IF(COUNTA($H$8:H42)&gt;DapAn!$H$6,-1,COUNTIFS(NguyenGiaTSCD,H42,GiaTriKhauHao,I42,HaoMonLuyKe,J42,TGSDTSCD,K42,TGSDCL,L42)&gt;0)*1)</f>
        <v>0</v>
      </c>
      <c r="T42" s="9">
        <f t="shared" si="2"/>
        <v>0</v>
      </c>
      <c r="Z42" s="9">
        <f t="shared" si="3"/>
        <v>0</v>
      </c>
      <c r="AD42" s="9">
        <f t="shared" si="4"/>
        <v>0</v>
      </c>
    </row>
    <row r="43" spans="1:30" x14ac:dyDescent="0.4">
      <c r="A43"/>
      <c r="B43" s="9" t="str">
        <f t="shared" ca="1" si="0"/>
        <v/>
      </c>
      <c r="C43" t="str">
        <f t="shared" si="1"/>
        <v/>
      </c>
      <c r="M43" s="9">
        <f>IF(H43="",0,IF(COUNTA($H$8:H43)&gt;DapAn!$H$6,-1,COUNTIFS(NguyenGiaTSCD,H43,GiaTriKhauHao,I43,HaoMonLuyKe,J43,TGSDTSCD,K43,TGSDCL,L43)&gt;0)*1)</f>
        <v>0</v>
      </c>
      <c r="T43" s="9">
        <f t="shared" si="2"/>
        <v>0</v>
      </c>
      <c r="Z43" s="9">
        <f t="shared" si="3"/>
        <v>0</v>
      </c>
      <c r="AD43" s="9">
        <f t="shared" si="4"/>
        <v>0</v>
      </c>
    </row>
    <row r="44" spans="1:30" x14ac:dyDescent="0.4">
      <c r="A44"/>
      <c r="B44" s="9" t="str">
        <f t="shared" ca="1" si="0"/>
        <v/>
      </c>
      <c r="C44" t="str">
        <f t="shared" si="1"/>
        <v/>
      </c>
      <c r="M44" s="9">
        <f>IF(H44="",0,IF(COUNTA($H$8:H44)&gt;DapAn!$H$6,-1,COUNTIFS(NguyenGiaTSCD,H44,GiaTriKhauHao,I44,HaoMonLuyKe,J44,TGSDTSCD,K44,TGSDCL,L44)&gt;0)*1)</f>
        <v>0</v>
      </c>
      <c r="T44" s="9">
        <f t="shared" si="2"/>
        <v>0</v>
      </c>
      <c r="Z44" s="9">
        <f t="shared" si="3"/>
        <v>0</v>
      </c>
      <c r="AD44" s="9">
        <f t="shared" si="4"/>
        <v>0</v>
      </c>
    </row>
    <row r="45" spans="1:30" x14ac:dyDescent="0.4">
      <c r="A45"/>
      <c r="B45" s="9" t="str">
        <f t="shared" ca="1" si="0"/>
        <v/>
      </c>
      <c r="C45" t="str">
        <f t="shared" si="1"/>
        <v/>
      </c>
      <c r="M45" s="9">
        <f>IF(H45="",0,IF(COUNTA($H$8:H45)&gt;DapAn!$H$6,-1,COUNTIFS(NguyenGiaTSCD,H45,GiaTriKhauHao,I45,HaoMonLuyKe,J45,TGSDTSCD,K45,TGSDCL,L45)&gt;0)*1)</f>
        <v>0</v>
      </c>
      <c r="T45" s="9">
        <f t="shared" si="2"/>
        <v>0</v>
      </c>
      <c r="Z45" s="9">
        <f t="shared" si="3"/>
        <v>0</v>
      </c>
      <c r="AD45" s="9">
        <f t="shared" si="4"/>
        <v>0</v>
      </c>
    </row>
    <row r="46" spans="1:30" x14ac:dyDescent="0.4">
      <c r="A46"/>
      <c r="B46" s="9" t="str">
        <f t="shared" ca="1" si="0"/>
        <v/>
      </c>
      <c r="C46" t="str">
        <f t="shared" si="1"/>
        <v/>
      </c>
      <c r="M46" s="9">
        <f>IF(H46="",0,IF(COUNTA($H$8:H46)&gt;DapAn!$H$6,-1,COUNTIFS(NguyenGiaTSCD,H46,GiaTriKhauHao,I46,HaoMonLuyKe,J46,TGSDTSCD,K46,TGSDCL,L46)&gt;0)*1)</f>
        <v>0</v>
      </c>
      <c r="T46" s="9">
        <f t="shared" si="2"/>
        <v>0</v>
      </c>
      <c r="Z46" s="9">
        <f t="shared" si="3"/>
        <v>0</v>
      </c>
      <c r="AD46" s="9">
        <f t="shared" si="4"/>
        <v>0</v>
      </c>
    </row>
    <row r="47" spans="1:30" x14ac:dyDescent="0.4">
      <c r="A47"/>
      <c r="B47" s="9" t="str">
        <f t="shared" ca="1" si="0"/>
        <v/>
      </c>
      <c r="C47" t="str">
        <f t="shared" si="1"/>
        <v/>
      </c>
      <c r="M47" s="9">
        <f>IF(H47="",0,IF(COUNTA($H$8:H47)&gt;DapAn!$H$6,-1,COUNTIFS(NguyenGiaTSCD,H47,GiaTriKhauHao,I47,HaoMonLuyKe,J47,TGSDTSCD,K47,TGSDCL,L47)&gt;0)*1)</f>
        <v>0</v>
      </c>
      <c r="T47" s="9">
        <f t="shared" si="2"/>
        <v>0</v>
      </c>
      <c r="Z47" s="9">
        <f t="shared" si="3"/>
        <v>0</v>
      </c>
      <c r="AD47" s="9">
        <f t="shared" si="4"/>
        <v>0</v>
      </c>
    </row>
    <row r="48" spans="1:30" x14ac:dyDescent="0.4">
      <c r="A48"/>
      <c r="B48" s="9" t="str">
        <f t="shared" ca="1" si="0"/>
        <v/>
      </c>
      <c r="C48" t="str">
        <f t="shared" si="1"/>
        <v/>
      </c>
      <c r="M48" s="9">
        <f>IF(H48="",0,IF(COUNTA($H$8:H48)&gt;DapAn!$H$6,-1,COUNTIFS(NguyenGiaTSCD,H48,GiaTriKhauHao,I48,HaoMonLuyKe,J48,TGSDTSCD,K48,TGSDCL,L48)&gt;0)*1)</f>
        <v>0</v>
      </c>
      <c r="T48" s="9">
        <f t="shared" si="2"/>
        <v>0</v>
      </c>
      <c r="Z48" s="9">
        <f t="shared" si="3"/>
        <v>0</v>
      </c>
      <c r="AD48" s="9">
        <f t="shared" si="4"/>
        <v>0</v>
      </c>
    </row>
    <row r="49" spans="1:30" x14ac:dyDescent="0.4">
      <c r="A49"/>
      <c r="B49" s="9" t="str">
        <f t="shared" ca="1" si="0"/>
        <v/>
      </c>
      <c r="C49" t="str">
        <f t="shared" si="1"/>
        <v/>
      </c>
      <c r="M49" s="9">
        <f>IF(H49="",0,IF(COUNTA($H$8:H49)&gt;DapAn!$H$6,-1,COUNTIFS(NguyenGiaTSCD,H49,GiaTriKhauHao,I49,HaoMonLuyKe,J49,TGSDTSCD,K49,TGSDCL,L49)&gt;0)*1)</f>
        <v>0</v>
      </c>
      <c r="T49" s="9">
        <f t="shared" si="2"/>
        <v>0</v>
      </c>
      <c r="Z49" s="9">
        <f t="shared" si="3"/>
        <v>0</v>
      </c>
      <c r="AD49" s="9">
        <f t="shared" si="4"/>
        <v>0</v>
      </c>
    </row>
    <row r="50" spans="1:30" x14ac:dyDescent="0.4">
      <c r="A50"/>
      <c r="B50" s="9" t="str">
        <f t="shared" ca="1" si="0"/>
        <v/>
      </c>
      <c r="C50" t="str">
        <f t="shared" si="1"/>
        <v/>
      </c>
      <c r="M50" s="9">
        <f>IF(H50="",0,IF(COUNTA($H$8:H50)&gt;DapAn!$H$6,-1,COUNTIFS(NguyenGiaTSCD,H50,GiaTriKhauHao,I50,HaoMonLuyKe,J50,TGSDTSCD,K50,TGSDCL,L50)&gt;0)*1)</f>
        <v>0</v>
      </c>
      <c r="T50" s="9">
        <f t="shared" si="2"/>
        <v>0</v>
      </c>
      <c r="Z50" s="9">
        <f t="shared" si="3"/>
        <v>0</v>
      </c>
      <c r="AD50" s="9">
        <f t="shared" si="4"/>
        <v>0</v>
      </c>
    </row>
    <row r="51" spans="1:30" x14ac:dyDescent="0.4">
      <c r="A51"/>
      <c r="B51" s="9" t="str">
        <f t="shared" ca="1" si="0"/>
        <v/>
      </c>
      <c r="C51" t="str">
        <f t="shared" si="1"/>
        <v/>
      </c>
      <c r="M51" s="9">
        <f>IF(H51="",0,IF(COUNTA($H$8:H51)&gt;DapAn!$H$6,-1,COUNTIFS(NguyenGiaTSCD,H51,GiaTriKhauHao,I51,HaoMonLuyKe,J51,TGSDTSCD,K51,TGSDCL,L51)&gt;0)*1)</f>
        <v>0</v>
      </c>
      <c r="T51" s="9">
        <f t="shared" si="2"/>
        <v>0</v>
      </c>
      <c r="Z51" s="9">
        <f t="shared" si="3"/>
        <v>0</v>
      </c>
      <c r="AD51" s="9">
        <f t="shared" si="4"/>
        <v>0</v>
      </c>
    </row>
    <row r="52" spans="1:30" x14ac:dyDescent="0.4">
      <c r="A52"/>
      <c r="B52" s="9" t="str">
        <f t="shared" ca="1" si="0"/>
        <v/>
      </c>
      <c r="C52" t="str">
        <f t="shared" si="1"/>
        <v/>
      </c>
      <c r="M52" s="9">
        <f>IF(H52="",0,IF(COUNTA($H$8:H52)&gt;DapAn!$H$6,-1,COUNTIFS(NguyenGiaTSCD,H52,GiaTriKhauHao,I52,HaoMonLuyKe,J52,TGSDTSCD,K52,TGSDCL,L52)&gt;0)*1)</f>
        <v>0</v>
      </c>
      <c r="T52" s="9">
        <f t="shared" si="2"/>
        <v>0</v>
      </c>
      <c r="Z52" s="9">
        <f t="shared" si="3"/>
        <v>0</v>
      </c>
      <c r="AD52" s="9">
        <f t="shared" si="4"/>
        <v>0</v>
      </c>
    </row>
    <row r="53" spans="1:30" x14ac:dyDescent="0.4">
      <c r="A53"/>
      <c r="B53" s="9" t="str">
        <f t="shared" ca="1" si="0"/>
        <v/>
      </c>
      <c r="C53" t="str">
        <f t="shared" si="1"/>
        <v/>
      </c>
      <c r="M53" s="9">
        <f>IF(H53="",0,IF(COUNTA($H$8:H53)&gt;DapAn!$H$6,-1,COUNTIFS(NguyenGiaTSCD,H53,GiaTriKhauHao,I53,HaoMonLuyKe,J53,TGSDTSCD,K53,TGSDCL,L53)&gt;0)*1)</f>
        <v>0</v>
      </c>
      <c r="T53" s="9">
        <f t="shared" si="2"/>
        <v>0</v>
      </c>
      <c r="Z53" s="9">
        <f t="shared" si="3"/>
        <v>0</v>
      </c>
      <c r="AD53" s="9">
        <f t="shared" si="4"/>
        <v>0</v>
      </c>
    </row>
    <row r="54" spans="1:30" x14ac:dyDescent="0.4">
      <c r="A54"/>
      <c r="B54" s="9" t="str">
        <f t="shared" ca="1" si="0"/>
        <v/>
      </c>
      <c r="C54" t="str">
        <f t="shared" si="1"/>
        <v/>
      </c>
      <c r="M54" s="9">
        <f>IF(H54="",0,IF(COUNTA($H$8:H54)&gt;DapAn!$H$6,-1,COUNTIFS(NguyenGiaTSCD,H54,GiaTriKhauHao,I54,HaoMonLuyKe,J54,TGSDTSCD,K54,TGSDCL,L54)&gt;0)*1)</f>
        <v>0</v>
      </c>
      <c r="T54" s="9">
        <f t="shared" si="2"/>
        <v>0</v>
      </c>
      <c r="Z54" s="9">
        <f t="shared" si="3"/>
        <v>0</v>
      </c>
      <c r="AD54" s="9">
        <f t="shared" si="4"/>
        <v>0</v>
      </c>
    </row>
    <row r="55" spans="1:30" x14ac:dyDescent="0.4">
      <c r="A55"/>
      <c r="B55" s="9" t="str">
        <f t="shared" ca="1" si="0"/>
        <v/>
      </c>
      <c r="C55" t="str">
        <f t="shared" si="1"/>
        <v/>
      </c>
      <c r="M55" s="9">
        <f>IF(H55="",0,IF(COUNTA($H$8:H55)&gt;DapAn!$H$6,-1,COUNTIFS(NguyenGiaTSCD,H55,GiaTriKhauHao,I55,HaoMonLuyKe,J55,TGSDTSCD,K55,TGSDCL,L55)&gt;0)*1)</f>
        <v>0</v>
      </c>
      <c r="T55" s="9">
        <f t="shared" si="2"/>
        <v>0</v>
      </c>
      <c r="Z55" s="9">
        <f t="shared" si="3"/>
        <v>0</v>
      </c>
      <c r="AD55" s="9">
        <f t="shared" si="4"/>
        <v>0</v>
      </c>
    </row>
    <row r="56" spans="1:30" x14ac:dyDescent="0.4">
      <c r="A56"/>
      <c r="B56" s="9" t="str">
        <f t="shared" ca="1" si="0"/>
        <v/>
      </c>
      <c r="C56" t="str">
        <f t="shared" si="1"/>
        <v/>
      </c>
      <c r="M56" s="9">
        <f>IF(H56="",0,IF(COUNTA($H$8:H56)&gt;DapAn!$H$6,-1,COUNTIFS(NguyenGiaTSCD,H56,GiaTriKhauHao,I56,HaoMonLuyKe,J56,TGSDTSCD,K56,TGSDCL,L56)&gt;0)*1)</f>
        <v>0</v>
      </c>
      <c r="T56" s="9">
        <f t="shared" si="2"/>
        <v>0</v>
      </c>
      <c r="Z56" s="9">
        <f t="shared" si="3"/>
        <v>0</v>
      </c>
      <c r="AD56" s="9">
        <f t="shared" si="4"/>
        <v>0</v>
      </c>
    </row>
    <row r="57" spans="1:30" x14ac:dyDescent="0.4">
      <c r="A57"/>
      <c r="B57" s="9" t="str">
        <f t="shared" ca="1" si="0"/>
        <v/>
      </c>
      <c r="C57" t="str">
        <f t="shared" si="1"/>
        <v/>
      </c>
      <c r="M57" s="9">
        <f>IF(H57="",0,IF(COUNTA($H$8:H57)&gt;DapAn!$H$6,-1,COUNTIFS(NguyenGiaTSCD,H57,GiaTriKhauHao,I57,HaoMonLuyKe,J57,TGSDTSCD,K57,TGSDCL,L57)&gt;0)*1)</f>
        <v>0</v>
      </c>
      <c r="T57" s="9">
        <f t="shared" si="2"/>
        <v>0</v>
      </c>
      <c r="Z57" s="9">
        <f t="shared" si="3"/>
        <v>0</v>
      </c>
      <c r="AD57" s="9">
        <f t="shared" si="4"/>
        <v>0</v>
      </c>
    </row>
    <row r="58" spans="1:30" x14ac:dyDescent="0.4">
      <c r="A58"/>
      <c r="B58" s="9" t="str">
        <f t="shared" ca="1" si="0"/>
        <v/>
      </c>
      <c r="C58" t="str">
        <f t="shared" si="1"/>
        <v/>
      </c>
      <c r="M58" s="9">
        <f>IF(H58="",0,IF(COUNTA($H$8:H58)&gt;DapAn!$H$6,-1,COUNTIFS(NguyenGiaTSCD,H58,GiaTriKhauHao,I58,HaoMonLuyKe,J58,TGSDTSCD,K58,TGSDCL,L58)&gt;0)*1)</f>
        <v>0</v>
      </c>
      <c r="T58" s="9">
        <f t="shared" si="2"/>
        <v>0</v>
      </c>
      <c r="Z58" s="9">
        <f t="shared" si="3"/>
        <v>0</v>
      </c>
      <c r="AD58" s="9">
        <f t="shared" si="4"/>
        <v>0</v>
      </c>
    </row>
    <row r="59" spans="1:30" x14ac:dyDescent="0.4">
      <c r="A59"/>
      <c r="B59" s="9" t="str">
        <f t="shared" ca="1" si="0"/>
        <v/>
      </c>
      <c r="C59" t="str">
        <f t="shared" si="1"/>
        <v/>
      </c>
      <c r="M59" s="9">
        <f>IF(H59="",0,IF(COUNTA($H$8:H59)&gt;DapAn!$H$6,-1,COUNTIFS(NguyenGiaTSCD,H59,GiaTriKhauHao,I59,HaoMonLuyKe,J59,TGSDTSCD,K59,TGSDCL,L59)&gt;0)*1)</f>
        <v>0</v>
      </c>
      <c r="T59" s="9">
        <f t="shared" si="2"/>
        <v>0</v>
      </c>
      <c r="Z59" s="9">
        <f t="shared" si="3"/>
        <v>0</v>
      </c>
      <c r="AD59" s="9">
        <f t="shared" si="4"/>
        <v>0</v>
      </c>
    </row>
    <row r="60" spans="1:30" x14ac:dyDescent="0.4">
      <c r="A60"/>
      <c r="B60" s="9" t="str">
        <f t="shared" ca="1" si="0"/>
        <v/>
      </c>
      <c r="C60" t="str">
        <f t="shared" si="1"/>
        <v/>
      </c>
      <c r="M60" s="9">
        <f>IF(H60="",0,IF(COUNTA($H$8:H60)&gt;DapAn!$H$6,-1,COUNTIFS(NguyenGiaTSCD,H60,GiaTriKhauHao,I60,HaoMonLuyKe,J60,TGSDTSCD,K60,TGSDCL,L60)&gt;0)*1)</f>
        <v>0</v>
      </c>
      <c r="T60" s="9">
        <f t="shared" si="2"/>
        <v>0</v>
      </c>
      <c r="Z60" s="9">
        <f t="shared" si="3"/>
        <v>0</v>
      </c>
      <c r="AD60" s="9">
        <f t="shared" si="4"/>
        <v>0</v>
      </c>
    </row>
    <row r="61" spans="1:30" x14ac:dyDescent="0.4">
      <c r="A61"/>
      <c r="B61" s="9" t="str">
        <f t="shared" ca="1" si="0"/>
        <v/>
      </c>
      <c r="C61" t="str">
        <f t="shared" si="1"/>
        <v/>
      </c>
      <c r="M61" s="9">
        <f>IF(H61="",0,IF(COUNTA($H$8:H61)&gt;DapAn!$H$6,-1,COUNTIFS(NguyenGiaTSCD,H61,GiaTriKhauHao,I61,HaoMonLuyKe,J61,TGSDTSCD,K61,TGSDCL,L61)&gt;0)*1)</f>
        <v>0</v>
      </c>
      <c r="T61" s="9">
        <f t="shared" si="2"/>
        <v>0</v>
      </c>
      <c r="Z61" s="9">
        <f t="shared" si="3"/>
        <v>0</v>
      </c>
      <c r="AD61" s="9">
        <f t="shared" si="4"/>
        <v>0</v>
      </c>
    </row>
    <row r="62" spans="1:30" x14ac:dyDescent="0.4">
      <c r="A62"/>
      <c r="B62" s="9" t="str">
        <f t="shared" ca="1" si="0"/>
        <v/>
      </c>
      <c r="C62" t="str">
        <f t="shared" si="1"/>
        <v/>
      </c>
      <c r="M62" s="9">
        <f>IF(H62="",0,IF(COUNTA($H$8:H62)&gt;DapAn!$H$6,-1,COUNTIFS(NguyenGiaTSCD,H62,GiaTriKhauHao,I62,HaoMonLuyKe,J62,TGSDTSCD,K62,TGSDCL,L62)&gt;0)*1)</f>
        <v>0</v>
      </c>
      <c r="T62" s="9">
        <f t="shared" si="2"/>
        <v>0</v>
      </c>
      <c r="Z62" s="9">
        <f t="shared" si="3"/>
        <v>0</v>
      </c>
      <c r="AD62" s="9">
        <f t="shared" si="4"/>
        <v>0</v>
      </c>
    </row>
    <row r="63" spans="1:30" x14ac:dyDescent="0.4">
      <c r="A63"/>
      <c r="B63" s="9" t="str">
        <f t="shared" ca="1" si="0"/>
        <v/>
      </c>
      <c r="C63" t="str">
        <f t="shared" si="1"/>
        <v/>
      </c>
      <c r="M63" s="9">
        <f>IF(H63="",0,IF(COUNTA($H$8:H63)&gt;DapAn!$H$6,-1,COUNTIFS(NguyenGiaTSCD,H63,GiaTriKhauHao,I63,HaoMonLuyKe,J63,TGSDTSCD,K63,TGSDCL,L63)&gt;0)*1)</f>
        <v>0</v>
      </c>
      <c r="T63" s="9">
        <f t="shared" si="2"/>
        <v>0</v>
      </c>
      <c r="Z63" s="9">
        <f t="shared" si="3"/>
        <v>0</v>
      </c>
      <c r="AD63" s="9">
        <f t="shared" si="4"/>
        <v>0</v>
      </c>
    </row>
    <row r="64" spans="1:30" x14ac:dyDescent="0.4">
      <c r="A64"/>
      <c r="B64" s="9" t="str">
        <f t="shared" ca="1" si="0"/>
        <v/>
      </c>
      <c r="C64" t="str">
        <f t="shared" si="1"/>
        <v/>
      </c>
      <c r="M64" s="9">
        <f>IF(H64="",0,IF(COUNTA($H$8:H64)&gt;DapAn!$H$6,-1,COUNTIFS(NguyenGiaTSCD,H64,GiaTriKhauHao,I64,HaoMonLuyKe,J64,TGSDTSCD,K64,TGSDCL,L64)&gt;0)*1)</f>
        <v>0</v>
      </c>
      <c r="T64" s="9">
        <f t="shared" si="2"/>
        <v>0</v>
      </c>
      <c r="Z64" s="9">
        <f t="shared" si="3"/>
        <v>0</v>
      </c>
      <c r="AD64" s="9">
        <f t="shared" si="4"/>
        <v>0</v>
      </c>
    </row>
    <row r="65" spans="1:30" x14ac:dyDescent="0.4">
      <c r="A65"/>
      <c r="B65" s="9" t="str">
        <f t="shared" ca="1" si="0"/>
        <v/>
      </c>
      <c r="C65" t="str">
        <f t="shared" si="1"/>
        <v/>
      </c>
      <c r="M65" s="9">
        <f>IF(H65="",0,IF(COUNTA($H$8:H65)&gt;DapAn!$H$6,-1,COUNTIFS(NguyenGiaTSCD,H65,GiaTriKhauHao,I65,HaoMonLuyKe,J65,TGSDTSCD,K65,TGSDCL,L65)&gt;0)*1)</f>
        <v>0</v>
      </c>
      <c r="T65" s="9">
        <f t="shared" si="2"/>
        <v>0</v>
      </c>
      <c r="Z65" s="9">
        <f t="shared" si="3"/>
        <v>0</v>
      </c>
      <c r="AD65" s="9">
        <f t="shared" si="4"/>
        <v>0</v>
      </c>
    </row>
    <row r="66" spans="1:30" x14ac:dyDescent="0.4">
      <c r="A66"/>
      <c r="B66" s="9" t="str">
        <f t="shared" ca="1" si="0"/>
        <v/>
      </c>
      <c r="C66" t="str">
        <f t="shared" si="1"/>
        <v/>
      </c>
      <c r="M66" s="9">
        <f>IF(H66="",0,IF(COUNTA($H$8:H66)&gt;DapAn!$H$6,-1,COUNTIFS(NguyenGiaTSCD,H66,GiaTriKhauHao,I66,HaoMonLuyKe,J66,TGSDTSCD,K66,TGSDCL,L66)&gt;0)*1)</f>
        <v>0</v>
      </c>
      <c r="T66" s="9">
        <f t="shared" si="2"/>
        <v>0</v>
      </c>
      <c r="Z66" s="9">
        <f t="shared" si="3"/>
        <v>0</v>
      </c>
      <c r="AD66" s="9">
        <f t="shared" si="4"/>
        <v>0</v>
      </c>
    </row>
    <row r="67" spans="1:30" x14ac:dyDescent="0.4">
      <c r="A67"/>
      <c r="B67" s="9" t="str">
        <f t="shared" ref="B67:B130" ca="1" si="5">TEXT(IFERROR(LOOKUP(10^8,MID(A67,ROW(INDIRECT("1:"&amp;LEN(A67)-11)),8)+0),IF(A67="","",TRIM(RIGHT(SUBSTITUTE(LEFT(A67,LEN(A67)-4),"\",REPT(" ",50)),50)))),"00000000")</f>
        <v/>
      </c>
      <c r="C67" t="str">
        <f t="shared" ref="C67:C130" si="6">IF(A67="","",$J$1&amp;"\"&amp;A67)</f>
        <v/>
      </c>
      <c r="M67" s="9">
        <f>IF(H67="",0,IF(COUNTA($H$8:H67)&gt;DapAn!$H$6,-1,COUNTIFS(NguyenGiaTSCD,H67,GiaTriKhauHao,I67,HaoMonLuyKe,J67,TGSDTSCD,K67,TGSDCL,L67)&gt;0)*1)</f>
        <v>0</v>
      </c>
      <c r="T67" s="9">
        <f t="shared" si="2"/>
        <v>0</v>
      </c>
      <c r="Z67" s="9">
        <f t="shared" si="3"/>
        <v>0</v>
      </c>
      <c r="AD67" s="9">
        <f t="shared" si="4"/>
        <v>0</v>
      </c>
    </row>
    <row r="68" spans="1:30" x14ac:dyDescent="0.4">
      <c r="A68"/>
      <c r="B68" s="9" t="str">
        <f t="shared" ca="1" si="5"/>
        <v/>
      </c>
      <c r="C68" t="str">
        <f t="shared" si="6"/>
        <v/>
      </c>
      <c r="M68" s="9">
        <f>IF(H68="",0,IF(COUNTA($H$8:H68)&gt;DapAn!$H$6,-1,COUNTIFS(NguyenGiaTSCD,H68,GiaTriKhauHao,I68,HaoMonLuyKe,J68,TGSDTSCD,K68,TGSDCL,L68)&gt;0)*1)</f>
        <v>0</v>
      </c>
      <c r="T68" s="9">
        <f t="shared" si="2"/>
        <v>0</v>
      </c>
      <c r="Z68" s="9">
        <f t="shared" si="3"/>
        <v>0</v>
      </c>
      <c r="AD68" s="9">
        <f t="shared" si="4"/>
        <v>0</v>
      </c>
    </row>
    <row r="69" spans="1:30" x14ac:dyDescent="0.4">
      <c r="A69"/>
      <c r="B69" s="9" t="str">
        <f t="shared" ca="1" si="5"/>
        <v/>
      </c>
      <c r="C69" t="str">
        <f t="shared" si="6"/>
        <v/>
      </c>
      <c r="M69" s="9">
        <f>IF(H69="",0,IF(COUNTA($H$8:H69)&gt;DapAn!$H$6,-1,COUNTIFS(NguyenGiaTSCD,H69,GiaTriKhauHao,I69,HaoMonLuyKe,J69,TGSDTSCD,K69,TGSDCL,L69)&gt;0)*1)</f>
        <v>0</v>
      </c>
      <c r="T69" s="9">
        <f t="shared" si="2"/>
        <v>0</v>
      </c>
      <c r="Z69" s="9">
        <f t="shared" si="3"/>
        <v>0</v>
      </c>
      <c r="AD69" s="9">
        <f t="shared" si="4"/>
        <v>0</v>
      </c>
    </row>
    <row r="70" spans="1:30" x14ac:dyDescent="0.4">
      <c r="A70"/>
      <c r="B70" s="9" t="str">
        <f t="shared" ca="1" si="5"/>
        <v/>
      </c>
      <c r="C70" t="str">
        <f t="shared" si="6"/>
        <v/>
      </c>
      <c r="M70" s="9">
        <f>IF(H70="",0,IF(COUNTA($H$8:H70)&gt;DapAn!$H$6,-1,COUNTIFS(NguyenGiaTSCD,H70,GiaTriKhauHao,I70,HaoMonLuyKe,J70,TGSDTSCD,K70,TGSDCL,L70)&gt;0)*1)</f>
        <v>0</v>
      </c>
      <c r="T70" s="9">
        <f t="shared" si="2"/>
        <v>0</v>
      </c>
      <c r="Z70" s="9">
        <f t="shared" si="3"/>
        <v>0</v>
      </c>
      <c r="AD70" s="9">
        <f t="shared" si="4"/>
        <v>0</v>
      </c>
    </row>
    <row r="71" spans="1:30" x14ac:dyDescent="0.4">
      <c r="A71"/>
      <c r="B71" s="9" t="str">
        <f t="shared" ca="1" si="5"/>
        <v/>
      </c>
      <c r="C71" t="str">
        <f t="shared" si="6"/>
        <v/>
      </c>
      <c r="M71" s="9">
        <f>IF(H71="",0,IF(COUNTA($H$8:H71)&gt;DapAn!$H$6,-1,COUNTIFS(NguyenGiaTSCD,H71,GiaTriKhauHao,I71,HaoMonLuyKe,J71,TGSDTSCD,K71,TGSDCL,L71)&gt;0)*1)</f>
        <v>0</v>
      </c>
      <c r="T71" s="9">
        <f t="shared" si="2"/>
        <v>0</v>
      </c>
      <c r="Z71" s="9">
        <f t="shared" si="3"/>
        <v>0</v>
      </c>
      <c r="AD71" s="9">
        <f t="shared" si="4"/>
        <v>0</v>
      </c>
    </row>
    <row r="72" spans="1:30" x14ac:dyDescent="0.4">
      <c r="A72"/>
      <c r="B72" s="9" t="str">
        <f t="shared" ca="1" si="5"/>
        <v/>
      </c>
      <c r="C72" t="str">
        <f t="shared" si="6"/>
        <v/>
      </c>
      <c r="M72" s="9">
        <f>IF(H72="",0,IF(COUNTA($H$8:H72)&gt;DapAn!$H$6,-1,COUNTIFS(NguyenGiaTSCD,H72,GiaTriKhauHao,I72,HaoMonLuyKe,J72,TGSDTSCD,K72,TGSDCL,L72)&gt;0)*1)</f>
        <v>0</v>
      </c>
      <c r="T72" s="9">
        <f t="shared" ref="T72:T135" si="7">(COUNTIFS(TH_TK,N72,TH_DuNo,O72,TH_DuNoNT,P72,TH_DuCo,Q72,TH_DuCoNT,R72,TH_SoLuong,S72)&gt;0)*1</f>
        <v>0</v>
      </c>
      <c r="Z72" s="9">
        <f t="shared" ref="Z72:Z135" si="8">(COUNTIFS(NV,U72,TK,V72,TongNo,W72,TongCo,X72,SoLuong,Y72)&gt;0)*1</f>
        <v>0</v>
      </c>
      <c r="AD72" s="9">
        <f t="shared" ref="AD72:AD135" si="9">COUNTIFS(ReportType,AA72,ItemCode,AB72,Amount,AC72)</f>
        <v>0</v>
      </c>
    </row>
    <row r="73" spans="1:30" x14ac:dyDescent="0.4">
      <c r="A73"/>
      <c r="B73" s="9" t="str">
        <f t="shared" ca="1" si="5"/>
        <v/>
      </c>
      <c r="C73" t="str">
        <f t="shared" si="6"/>
        <v/>
      </c>
      <c r="M73" s="9">
        <f>IF(H73="",0,IF(COUNTA($H$8:H73)&gt;DapAn!$H$6,-1,COUNTIFS(NguyenGiaTSCD,H73,GiaTriKhauHao,I73,HaoMonLuyKe,J73,TGSDTSCD,K73,TGSDCL,L73)&gt;0)*1)</f>
        <v>0</v>
      </c>
      <c r="T73" s="9">
        <f t="shared" si="7"/>
        <v>0</v>
      </c>
      <c r="Z73" s="9">
        <f t="shared" si="8"/>
        <v>0</v>
      </c>
      <c r="AD73" s="9">
        <f t="shared" si="9"/>
        <v>0</v>
      </c>
    </row>
    <row r="74" spans="1:30" x14ac:dyDescent="0.4">
      <c r="A74"/>
      <c r="B74" s="9" t="str">
        <f t="shared" ca="1" si="5"/>
        <v/>
      </c>
      <c r="C74" t="str">
        <f t="shared" si="6"/>
        <v/>
      </c>
      <c r="M74" s="9">
        <f>IF(H74="",0,IF(COUNTA($H$8:H74)&gt;DapAn!$H$6,-1,COUNTIFS(NguyenGiaTSCD,H74,GiaTriKhauHao,I74,HaoMonLuyKe,J74,TGSDTSCD,K74,TGSDCL,L74)&gt;0)*1)</f>
        <v>0</v>
      </c>
      <c r="T74" s="9">
        <f t="shared" si="7"/>
        <v>0</v>
      </c>
      <c r="Z74" s="9">
        <f t="shared" si="8"/>
        <v>0</v>
      </c>
      <c r="AD74" s="9">
        <f t="shared" si="9"/>
        <v>0</v>
      </c>
    </row>
    <row r="75" spans="1:30" x14ac:dyDescent="0.4">
      <c r="A75"/>
      <c r="B75" s="9" t="str">
        <f t="shared" ca="1" si="5"/>
        <v/>
      </c>
      <c r="C75" t="str">
        <f t="shared" si="6"/>
        <v/>
      </c>
      <c r="M75" s="9">
        <f>IF(H75="",0,IF(COUNTA($H$8:H75)&gt;DapAn!$H$6,-1,COUNTIFS(NguyenGiaTSCD,H75,GiaTriKhauHao,I75,HaoMonLuyKe,J75,TGSDTSCD,K75,TGSDCL,L75)&gt;0)*1)</f>
        <v>0</v>
      </c>
      <c r="T75" s="9">
        <f t="shared" si="7"/>
        <v>0</v>
      </c>
      <c r="Z75" s="9">
        <f t="shared" si="8"/>
        <v>0</v>
      </c>
      <c r="AD75" s="9">
        <f t="shared" si="9"/>
        <v>0</v>
      </c>
    </row>
    <row r="76" spans="1:30" x14ac:dyDescent="0.4">
      <c r="A76"/>
      <c r="B76" s="9" t="str">
        <f t="shared" ca="1" si="5"/>
        <v/>
      </c>
      <c r="C76" t="str">
        <f t="shared" si="6"/>
        <v/>
      </c>
      <c r="M76" s="9">
        <f>IF(H76="",0,IF(COUNTA($H$8:H76)&gt;DapAn!$H$6,-1,COUNTIFS(NguyenGiaTSCD,H76,GiaTriKhauHao,I76,HaoMonLuyKe,J76,TGSDTSCD,K76,TGSDCL,L76)&gt;0)*1)</f>
        <v>0</v>
      </c>
      <c r="T76" s="9">
        <f t="shared" si="7"/>
        <v>0</v>
      </c>
      <c r="Z76" s="9">
        <f t="shared" si="8"/>
        <v>0</v>
      </c>
      <c r="AD76" s="9">
        <f t="shared" si="9"/>
        <v>0</v>
      </c>
    </row>
    <row r="77" spans="1:30" x14ac:dyDescent="0.4">
      <c r="A77"/>
      <c r="B77" s="9" t="str">
        <f t="shared" ca="1" si="5"/>
        <v/>
      </c>
      <c r="C77" t="str">
        <f t="shared" si="6"/>
        <v/>
      </c>
      <c r="M77" s="9">
        <f>IF(H77="",0,IF(COUNTA($H$8:H77)&gt;DapAn!$H$6,-1,COUNTIFS(NguyenGiaTSCD,H77,GiaTriKhauHao,I77,HaoMonLuyKe,J77,TGSDTSCD,K77,TGSDCL,L77)&gt;0)*1)</f>
        <v>0</v>
      </c>
      <c r="T77" s="9">
        <f t="shared" si="7"/>
        <v>0</v>
      </c>
      <c r="X77" s="44"/>
      <c r="Z77" s="9">
        <f t="shared" si="8"/>
        <v>0</v>
      </c>
      <c r="AD77" s="9">
        <f t="shared" si="9"/>
        <v>0</v>
      </c>
    </row>
    <row r="78" spans="1:30" x14ac:dyDescent="0.4">
      <c r="A78"/>
      <c r="B78" s="9" t="str">
        <f t="shared" ca="1" si="5"/>
        <v/>
      </c>
      <c r="C78" t="str">
        <f t="shared" si="6"/>
        <v/>
      </c>
      <c r="M78" s="9">
        <f>IF(H78="",0,IF(COUNTA($H$8:H78)&gt;DapAn!$H$6,-1,COUNTIFS(NguyenGiaTSCD,H78,GiaTriKhauHao,I78,HaoMonLuyKe,J78,TGSDTSCD,K78,TGSDCL,L78)&gt;0)*1)</f>
        <v>0</v>
      </c>
      <c r="T78" s="9">
        <f t="shared" si="7"/>
        <v>0</v>
      </c>
      <c r="Z78" s="9">
        <f t="shared" si="8"/>
        <v>0</v>
      </c>
      <c r="AD78" s="9">
        <f t="shared" si="9"/>
        <v>0</v>
      </c>
    </row>
    <row r="79" spans="1:30" x14ac:dyDescent="0.4">
      <c r="A79"/>
      <c r="B79" s="9" t="str">
        <f t="shared" ca="1" si="5"/>
        <v/>
      </c>
      <c r="C79" t="str">
        <f t="shared" si="6"/>
        <v/>
      </c>
      <c r="M79" s="9">
        <f>IF(H79="",0,IF(COUNTA($H$8:H79)&gt;DapAn!$H$6,-1,COUNTIFS(NguyenGiaTSCD,H79,GiaTriKhauHao,I79,HaoMonLuyKe,J79,TGSDTSCD,K79,TGSDCL,L79)&gt;0)*1)</f>
        <v>0</v>
      </c>
      <c r="T79" s="9">
        <f t="shared" si="7"/>
        <v>0</v>
      </c>
      <c r="Z79" s="9">
        <f t="shared" si="8"/>
        <v>0</v>
      </c>
      <c r="AD79" s="9">
        <f t="shared" si="9"/>
        <v>0</v>
      </c>
    </row>
    <row r="80" spans="1:30" x14ac:dyDescent="0.4">
      <c r="A80"/>
      <c r="B80" s="9" t="str">
        <f t="shared" ca="1" si="5"/>
        <v/>
      </c>
      <c r="C80" t="str">
        <f t="shared" si="6"/>
        <v/>
      </c>
      <c r="M80" s="9">
        <f>IF(H80="",0,IF(COUNTA($H$8:H80)&gt;DapAn!$H$6,-1,COUNTIFS(NguyenGiaTSCD,H80,GiaTriKhauHao,I80,HaoMonLuyKe,J80,TGSDTSCD,K80,TGSDCL,L80)&gt;0)*1)</f>
        <v>0</v>
      </c>
      <c r="T80" s="9">
        <f t="shared" si="7"/>
        <v>0</v>
      </c>
      <c r="Z80" s="9">
        <f t="shared" si="8"/>
        <v>0</v>
      </c>
      <c r="AD80" s="9">
        <f t="shared" si="9"/>
        <v>0</v>
      </c>
    </row>
    <row r="81" spans="1:30" x14ac:dyDescent="0.4">
      <c r="A81"/>
      <c r="B81" s="9" t="str">
        <f t="shared" ca="1" si="5"/>
        <v/>
      </c>
      <c r="C81" t="str">
        <f t="shared" si="6"/>
        <v/>
      </c>
      <c r="M81" s="9">
        <f>IF(H81="",0,IF(COUNTA($H$8:H81)&gt;DapAn!$H$6,-1,COUNTIFS(NguyenGiaTSCD,H81,GiaTriKhauHao,I81,HaoMonLuyKe,J81,TGSDTSCD,K81,TGSDCL,L81)&gt;0)*1)</f>
        <v>0</v>
      </c>
      <c r="T81" s="9">
        <f t="shared" si="7"/>
        <v>0</v>
      </c>
      <c r="Z81" s="9">
        <f t="shared" si="8"/>
        <v>0</v>
      </c>
      <c r="AD81" s="9">
        <f t="shared" si="9"/>
        <v>0</v>
      </c>
    </row>
    <row r="82" spans="1:30" x14ac:dyDescent="0.4">
      <c r="A82"/>
      <c r="B82" s="9" t="str">
        <f t="shared" ca="1" si="5"/>
        <v/>
      </c>
      <c r="C82" t="str">
        <f t="shared" si="6"/>
        <v/>
      </c>
      <c r="M82" s="9">
        <f>IF(H82="",0,IF(COUNTA($H$8:H82)&gt;DapAn!$H$6,-1,COUNTIFS(NguyenGiaTSCD,H82,GiaTriKhauHao,I82,HaoMonLuyKe,J82,TGSDTSCD,K82,TGSDCL,L82)&gt;0)*1)</f>
        <v>0</v>
      </c>
      <c r="T82" s="9">
        <f t="shared" si="7"/>
        <v>0</v>
      </c>
      <c r="Z82" s="9">
        <f t="shared" si="8"/>
        <v>0</v>
      </c>
      <c r="AD82" s="9">
        <f t="shared" si="9"/>
        <v>0</v>
      </c>
    </row>
    <row r="83" spans="1:30" x14ac:dyDescent="0.4">
      <c r="A83"/>
      <c r="B83" s="9" t="str">
        <f t="shared" ca="1" si="5"/>
        <v/>
      </c>
      <c r="C83" t="str">
        <f t="shared" si="6"/>
        <v/>
      </c>
      <c r="M83" s="9">
        <f>IF(H83="",0,IF(COUNTA($H$8:H83)&gt;DapAn!$H$6,-1,COUNTIFS(NguyenGiaTSCD,H83,GiaTriKhauHao,I83,HaoMonLuyKe,J83,TGSDTSCD,K83,TGSDCL,L83)&gt;0)*1)</f>
        <v>0</v>
      </c>
      <c r="T83" s="9">
        <f t="shared" si="7"/>
        <v>0</v>
      </c>
      <c r="Z83" s="9">
        <f t="shared" si="8"/>
        <v>0</v>
      </c>
      <c r="AD83" s="9">
        <f t="shared" si="9"/>
        <v>0</v>
      </c>
    </row>
    <row r="84" spans="1:30" x14ac:dyDescent="0.4">
      <c r="A84"/>
      <c r="B84" s="9" t="str">
        <f t="shared" ca="1" si="5"/>
        <v/>
      </c>
      <c r="C84" t="str">
        <f t="shared" si="6"/>
        <v/>
      </c>
      <c r="M84" s="9">
        <f>IF(H84="",0,IF(COUNTA($H$8:H84)&gt;DapAn!$H$6,-1,COUNTIFS(NguyenGiaTSCD,H84,GiaTriKhauHao,I84,HaoMonLuyKe,J84,TGSDTSCD,K84,TGSDCL,L84)&gt;0)*1)</f>
        <v>0</v>
      </c>
      <c r="T84" s="9">
        <f t="shared" si="7"/>
        <v>0</v>
      </c>
      <c r="Z84" s="9">
        <f t="shared" si="8"/>
        <v>0</v>
      </c>
      <c r="AD84" s="9">
        <f t="shared" si="9"/>
        <v>0</v>
      </c>
    </row>
    <row r="85" spans="1:30" x14ac:dyDescent="0.4">
      <c r="A85"/>
      <c r="B85" s="9" t="str">
        <f t="shared" ca="1" si="5"/>
        <v/>
      </c>
      <c r="C85" t="str">
        <f t="shared" si="6"/>
        <v/>
      </c>
      <c r="M85" s="9">
        <f>IF(H85="",0,IF(COUNTA($H$8:H85)&gt;DapAn!$H$6,-1,COUNTIFS(NguyenGiaTSCD,H85,GiaTriKhauHao,I85,HaoMonLuyKe,J85,TGSDTSCD,K85,TGSDCL,L85)&gt;0)*1)</f>
        <v>0</v>
      </c>
      <c r="T85" s="9">
        <f t="shared" si="7"/>
        <v>0</v>
      </c>
      <c r="Z85" s="9">
        <f t="shared" si="8"/>
        <v>0</v>
      </c>
      <c r="AD85" s="9">
        <f t="shared" si="9"/>
        <v>0</v>
      </c>
    </row>
    <row r="86" spans="1:30" x14ac:dyDescent="0.4">
      <c r="A86"/>
      <c r="B86" s="9" t="str">
        <f t="shared" ca="1" si="5"/>
        <v/>
      </c>
      <c r="C86" t="str">
        <f t="shared" si="6"/>
        <v/>
      </c>
      <c r="M86" s="9">
        <f>IF(H86="",0,IF(COUNTA($H$8:H86)&gt;DapAn!$H$6,-1,COUNTIFS(NguyenGiaTSCD,H86,GiaTriKhauHao,I86,HaoMonLuyKe,J86,TGSDTSCD,K86,TGSDCL,L86)&gt;0)*1)</f>
        <v>0</v>
      </c>
      <c r="T86" s="9">
        <f t="shared" si="7"/>
        <v>0</v>
      </c>
      <c r="Z86" s="9">
        <f t="shared" si="8"/>
        <v>0</v>
      </c>
      <c r="AD86" s="9">
        <f t="shared" si="9"/>
        <v>0</v>
      </c>
    </row>
    <row r="87" spans="1:30" x14ac:dyDescent="0.4">
      <c r="A87"/>
      <c r="B87" s="9" t="str">
        <f t="shared" ca="1" si="5"/>
        <v/>
      </c>
      <c r="C87" t="str">
        <f t="shared" si="6"/>
        <v/>
      </c>
      <c r="M87" s="9">
        <f>IF(H87="",0,IF(COUNTA($H$8:H87)&gt;DapAn!$H$6,-1,COUNTIFS(NguyenGiaTSCD,H87,GiaTriKhauHao,I87,HaoMonLuyKe,J87,TGSDTSCD,K87,TGSDCL,L87)&gt;0)*1)</f>
        <v>0</v>
      </c>
      <c r="T87" s="9">
        <f t="shared" si="7"/>
        <v>0</v>
      </c>
      <c r="Z87" s="9">
        <f t="shared" si="8"/>
        <v>0</v>
      </c>
      <c r="AD87" s="9">
        <f t="shared" si="9"/>
        <v>0</v>
      </c>
    </row>
    <row r="88" spans="1:30" x14ac:dyDescent="0.4">
      <c r="A88"/>
      <c r="B88" s="9" t="str">
        <f t="shared" ca="1" si="5"/>
        <v/>
      </c>
      <c r="C88" t="str">
        <f t="shared" si="6"/>
        <v/>
      </c>
      <c r="M88" s="9">
        <f>IF(H88="",0,IF(COUNTA($H$8:H88)&gt;DapAn!$H$6,-1,COUNTIFS(NguyenGiaTSCD,H88,GiaTriKhauHao,I88,HaoMonLuyKe,J88,TGSDTSCD,K88,TGSDCL,L88)&gt;0)*1)</f>
        <v>0</v>
      </c>
      <c r="T88" s="9">
        <f t="shared" si="7"/>
        <v>0</v>
      </c>
      <c r="Z88" s="9">
        <f t="shared" si="8"/>
        <v>0</v>
      </c>
      <c r="AD88" s="9">
        <f t="shared" si="9"/>
        <v>0</v>
      </c>
    </row>
    <row r="89" spans="1:30" x14ac:dyDescent="0.4">
      <c r="A89"/>
      <c r="B89" s="9" t="str">
        <f t="shared" ca="1" si="5"/>
        <v/>
      </c>
      <c r="C89" t="str">
        <f t="shared" si="6"/>
        <v/>
      </c>
      <c r="M89" s="9">
        <f>IF(H89="",0,IF(COUNTA($H$8:H89)&gt;DapAn!$H$6,-1,COUNTIFS(NguyenGiaTSCD,H89,GiaTriKhauHao,I89,HaoMonLuyKe,J89,TGSDTSCD,K89,TGSDCL,L89)&gt;0)*1)</f>
        <v>0</v>
      </c>
      <c r="T89" s="9">
        <f t="shared" si="7"/>
        <v>0</v>
      </c>
      <c r="Z89" s="9">
        <f t="shared" si="8"/>
        <v>0</v>
      </c>
      <c r="AD89" s="9">
        <f t="shared" si="9"/>
        <v>0</v>
      </c>
    </row>
    <row r="90" spans="1:30" x14ac:dyDescent="0.4">
      <c r="A90"/>
      <c r="B90" s="9" t="str">
        <f t="shared" ca="1" si="5"/>
        <v/>
      </c>
      <c r="C90" t="str">
        <f t="shared" si="6"/>
        <v/>
      </c>
      <c r="M90" s="9">
        <f>IF(H90="",0,IF(COUNTA($H$8:H90)&gt;DapAn!$H$6,-1,COUNTIFS(NguyenGiaTSCD,H90,GiaTriKhauHao,I90,HaoMonLuyKe,J90,TGSDTSCD,K90,TGSDCL,L90)&gt;0)*1)</f>
        <v>0</v>
      </c>
      <c r="T90" s="9">
        <f t="shared" si="7"/>
        <v>0</v>
      </c>
      <c r="Z90" s="9">
        <f t="shared" si="8"/>
        <v>0</v>
      </c>
      <c r="AD90" s="9">
        <f t="shared" si="9"/>
        <v>0</v>
      </c>
    </row>
    <row r="91" spans="1:30" x14ac:dyDescent="0.4">
      <c r="A91"/>
      <c r="B91" s="9" t="str">
        <f t="shared" ca="1" si="5"/>
        <v/>
      </c>
      <c r="C91" t="str">
        <f t="shared" si="6"/>
        <v/>
      </c>
      <c r="M91" s="9">
        <f>IF(H91="",0,IF(COUNTA($H$8:H91)&gt;DapAn!$H$6,-1,COUNTIFS(NguyenGiaTSCD,H91,GiaTriKhauHao,I91,HaoMonLuyKe,J91,TGSDTSCD,K91,TGSDCL,L91)&gt;0)*1)</f>
        <v>0</v>
      </c>
      <c r="T91" s="9">
        <f t="shared" si="7"/>
        <v>0</v>
      </c>
      <c r="Z91" s="9">
        <f t="shared" si="8"/>
        <v>0</v>
      </c>
      <c r="AD91" s="9">
        <f t="shared" si="9"/>
        <v>0</v>
      </c>
    </row>
    <row r="92" spans="1:30" x14ac:dyDescent="0.4">
      <c r="A92"/>
      <c r="B92" s="9" t="str">
        <f t="shared" ca="1" si="5"/>
        <v/>
      </c>
      <c r="C92" t="str">
        <f t="shared" si="6"/>
        <v/>
      </c>
      <c r="M92" s="9">
        <f>IF(H92="",0,IF(COUNTA($H$8:H92)&gt;DapAn!$H$6,-1,COUNTIFS(NguyenGiaTSCD,H92,GiaTriKhauHao,I92,HaoMonLuyKe,J92,TGSDTSCD,K92,TGSDCL,L92)&gt;0)*1)</f>
        <v>0</v>
      </c>
      <c r="T92" s="9">
        <f t="shared" si="7"/>
        <v>0</v>
      </c>
      <c r="Z92" s="9">
        <f t="shared" si="8"/>
        <v>0</v>
      </c>
      <c r="AD92" s="9">
        <f t="shared" si="9"/>
        <v>0</v>
      </c>
    </row>
    <row r="93" spans="1:30" x14ac:dyDescent="0.4">
      <c r="A93"/>
      <c r="B93" s="9" t="str">
        <f t="shared" ca="1" si="5"/>
        <v/>
      </c>
      <c r="C93" t="str">
        <f t="shared" si="6"/>
        <v/>
      </c>
      <c r="M93" s="9">
        <f>IF(H93="",0,IF(COUNTA($H$8:H93)&gt;DapAn!$H$6,-1,COUNTIFS(NguyenGiaTSCD,H93,GiaTriKhauHao,I93,HaoMonLuyKe,J93,TGSDTSCD,K93,TGSDCL,L93)&gt;0)*1)</f>
        <v>0</v>
      </c>
      <c r="T93" s="9">
        <f t="shared" si="7"/>
        <v>0</v>
      </c>
      <c r="Z93" s="9">
        <f t="shared" si="8"/>
        <v>0</v>
      </c>
      <c r="AD93" s="9">
        <f t="shared" si="9"/>
        <v>0</v>
      </c>
    </row>
    <row r="94" spans="1:30" x14ac:dyDescent="0.4">
      <c r="A94"/>
      <c r="B94" s="9" t="str">
        <f t="shared" ca="1" si="5"/>
        <v/>
      </c>
      <c r="C94" t="str">
        <f t="shared" si="6"/>
        <v/>
      </c>
      <c r="M94" s="9">
        <f>IF(H94="",0,IF(COUNTA($H$8:H94)&gt;DapAn!$H$6,-1,COUNTIFS(NguyenGiaTSCD,H94,GiaTriKhauHao,I94,HaoMonLuyKe,J94,TGSDTSCD,K94,TGSDCL,L94)&gt;0)*1)</f>
        <v>0</v>
      </c>
      <c r="T94" s="9">
        <f t="shared" si="7"/>
        <v>0</v>
      </c>
      <c r="Z94" s="9">
        <f t="shared" si="8"/>
        <v>0</v>
      </c>
      <c r="AD94" s="9">
        <f t="shared" si="9"/>
        <v>0</v>
      </c>
    </row>
    <row r="95" spans="1:30" x14ac:dyDescent="0.4">
      <c r="A95"/>
      <c r="B95" s="9" t="str">
        <f t="shared" ca="1" si="5"/>
        <v/>
      </c>
      <c r="C95" t="str">
        <f t="shared" si="6"/>
        <v/>
      </c>
      <c r="M95" s="9">
        <f>IF(H95="",0,IF(COUNTA($H$8:H95)&gt;DapAn!$H$6,-1,COUNTIFS(NguyenGiaTSCD,H95,GiaTriKhauHao,I95,HaoMonLuyKe,J95,TGSDTSCD,K95,TGSDCL,L95)&gt;0)*1)</f>
        <v>0</v>
      </c>
      <c r="T95" s="9">
        <f t="shared" si="7"/>
        <v>0</v>
      </c>
      <c r="Z95" s="9">
        <f t="shared" si="8"/>
        <v>0</v>
      </c>
      <c r="AD95" s="9">
        <f t="shared" si="9"/>
        <v>0</v>
      </c>
    </row>
    <row r="96" spans="1:30" x14ac:dyDescent="0.4">
      <c r="A96"/>
      <c r="B96" s="9" t="str">
        <f t="shared" ca="1" si="5"/>
        <v/>
      </c>
      <c r="C96" t="str">
        <f t="shared" si="6"/>
        <v/>
      </c>
      <c r="M96" s="9">
        <f>IF(H96="",0,IF(COUNTA($H$8:H96)&gt;DapAn!$H$6,-1,COUNTIFS(NguyenGiaTSCD,H96,GiaTriKhauHao,I96,HaoMonLuyKe,J96,TGSDTSCD,K96,TGSDCL,L96)&gt;0)*1)</f>
        <v>0</v>
      </c>
      <c r="T96" s="9">
        <f t="shared" si="7"/>
        <v>0</v>
      </c>
      <c r="Z96" s="9">
        <f t="shared" si="8"/>
        <v>0</v>
      </c>
      <c r="AD96" s="9">
        <f t="shared" si="9"/>
        <v>0</v>
      </c>
    </row>
    <row r="97" spans="1:30" x14ac:dyDescent="0.4">
      <c r="A97"/>
      <c r="B97" s="9" t="str">
        <f t="shared" ca="1" si="5"/>
        <v/>
      </c>
      <c r="C97" t="str">
        <f t="shared" si="6"/>
        <v/>
      </c>
      <c r="M97" s="9">
        <f>IF(H97="",0,IF(COUNTA($H$8:H97)&gt;DapAn!$H$6,-1,COUNTIFS(NguyenGiaTSCD,H97,GiaTriKhauHao,I97,HaoMonLuyKe,J97,TGSDTSCD,K97,TGSDCL,L97)&gt;0)*1)</f>
        <v>0</v>
      </c>
      <c r="T97" s="9">
        <f t="shared" si="7"/>
        <v>0</v>
      </c>
      <c r="Z97" s="9">
        <f t="shared" si="8"/>
        <v>0</v>
      </c>
      <c r="AD97" s="9">
        <f t="shared" si="9"/>
        <v>0</v>
      </c>
    </row>
    <row r="98" spans="1:30" x14ac:dyDescent="0.4">
      <c r="A98"/>
      <c r="B98" s="9" t="str">
        <f t="shared" ca="1" si="5"/>
        <v/>
      </c>
      <c r="C98" t="str">
        <f t="shared" si="6"/>
        <v/>
      </c>
      <c r="M98" s="9">
        <f>IF(H98="",0,IF(COUNTA($H$8:H98)&gt;DapAn!$H$6,-1,COUNTIFS(NguyenGiaTSCD,H98,GiaTriKhauHao,I98,HaoMonLuyKe,J98,TGSDTSCD,K98,TGSDCL,L98)&gt;0)*1)</f>
        <v>0</v>
      </c>
      <c r="T98" s="9">
        <f t="shared" si="7"/>
        <v>0</v>
      </c>
      <c r="Z98" s="9">
        <f t="shared" si="8"/>
        <v>0</v>
      </c>
      <c r="AD98" s="9">
        <f t="shared" si="9"/>
        <v>0</v>
      </c>
    </row>
    <row r="99" spans="1:30" x14ac:dyDescent="0.4">
      <c r="A99"/>
      <c r="B99" s="9" t="str">
        <f t="shared" ca="1" si="5"/>
        <v/>
      </c>
      <c r="C99" t="str">
        <f t="shared" si="6"/>
        <v/>
      </c>
      <c r="M99" s="9">
        <f>IF(H99="",0,IF(COUNTA($H$8:H99)&gt;DapAn!$H$6,-1,COUNTIFS(NguyenGiaTSCD,H99,GiaTriKhauHao,I99,HaoMonLuyKe,J99,TGSDTSCD,K99,TGSDCL,L99)&gt;0)*1)</f>
        <v>0</v>
      </c>
      <c r="T99" s="9">
        <f t="shared" si="7"/>
        <v>0</v>
      </c>
      <c r="Z99" s="9">
        <f t="shared" si="8"/>
        <v>0</v>
      </c>
      <c r="AD99" s="9">
        <f t="shared" si="9"/>
        <v>0</v>
      </c>
    </row>
    <row r="100" spans="1:30" x14ac:dyDescent="0.4">
      <c r="A100"/>
      <c r="B100" s="9" t="str">
        <f t="shared" ca="1" si="5"/>
        <v/>
      </c>
      <c r="C100" t="str">
        <f t="shared" si="6"/>
        <v/>
      </c>
      <c r="M100" s="9">
        <f>IF(H100="",0,IF(COUNTA($H$8:H100)&gt;DapAn!$H$6,-1,COUNTIFS(NguyenGiaTSCD,H100,GiaTriKhauHao,I100,HaoMonLuyKe,J100,TGSDTSCD,K100,TGSDCL,L100)&gt;0)*1)</f>
        <v>0</v>
      </c>
      <c r="T100" s="9">
        <f t="shared" si="7"/>
        <v>0</v>
      </c>
      <c r="Z100" s="9">
        <f t="shared" si="8"/>
        <v>0</v>
      </c>
      <c r="AD100" s="9">
        <f t="shared" si="9"/>
        <v>0</v>
      </c>
    </row>
    <row r="101" spans="1:30" x14ac:dyDescent="0.4">
      <c r="A101"/>
      <c r="B101" s="9" t="str">
        <f t="shared" ca="1" si="5"/>
        <v/>
      </c>
      <c r="C101" t="str">
        <f t="shared" si="6"/>
        <v/>
      </c>
      <c r="T101" s="9">
        <f t="shared" si="7"/>
        <v>0</v>
      </c>
      <c r="Z101" s="9">
        <f t="shared" si="8"/>
        <v>0</v>
      </c>
      <c r="AD101" s="9">
        <f t="shared" si="9"/>
        <v>0</v>
      </c>
    </row>
    <row r="102" spans="1:30" x14ac:dyDescent="0.4">
      <c r="A102"/>
      <c r="B102" s="9" t="str">
        <f t="shared" ca="1" si="5"/>
        <v/>
      </c>
      <c r="C102" t="str">
        <f t="shared" si="6"/>
        <v/>
      </c>
      <c r="T102" s="9">
        <f t="shared" si="7"/>
        <v>0</v>
      </c>
      <c r="Z102" s="9">
        <f t="shared" si="8"/>
        <v>0</v>
      </c>
      <c r="AD102" s="9">
        <f t="shared" si="9"/>
        <v>0</v>
      </c>
    </row>
    <row r="103" spans="1:30" x14ac:dyDescent="0.4">
      <c r="A103"/>
      <c r="B103" s="9" t="str">
        <f t="shared" ca="1" si="5"/>
        <v/>
      </c>
      <c r="C103" t="str">
        <f t="shared" si="6"/>
        <v/>
      </c>
      <c r="T103" s="9">
        <f t="shared" si="7"/>
        <v>0</v>
      </c>
      <c r="Z103" s="9">
        <f t="shared" si="8"/>
        <v>0</v>
      </c>
      <c r="AD103" s="9">
        <f t="shared" si="9"/>
        <v>0</v>
      </c>
    </row>
    <row r="104" spans="1:30" x14ac:dyDescent="0.4">
      <c r="A104"/>
      <c r="B104" s="9" t="str">
        <f t="shared" ca="1" si="5"/>
        <v/>
      </c>
      <c r="C104" t="str">
        <f t="shared" si="6"/>
        <v/>
      </c>
      <c r="T104" s="9">
        <f t="shared" si="7"/>
        <v>0</v>
      </c>
      <c r="Z104" s="9">
        <f t="shared" si="8"/>
        <v>0</v>
      </c>
      <c r="AD104" s="9">
        <f t="shared" si="9"/>
        <v>0</v>
      </c>
    </row>
    <row r="105" spans="1:30" x14ac:dyDescent="0.4">
      <c r="A105"/>
      <c r="B105" s="9" t="str">
        <f t="shared" ca="1" si="5"/>
        <v/>
      </c>
      <c r="C105" t="str">
        <f t="shared" si="6"/>
        <v/>
      </c>
      <c r="T105" s="9">
        <f t="shared" si="7"/>
        <v>0</v>
      </c>
      <c r="Z105" s="9">
        <f t="shared" si="8"/>
        <v>0</v>
      </c>
      <c r="AD105" s="9">
        <f t="shared" si="9"/>
        <v>0</v>
      </c>
    </row>
    <row r="106" spans="1:30" x14ac:dyDescent="0.4">
      <c r="A106"/>
      <c r="B106" s="9" t="str">
        <f t="shared" ca="1" si="5"/>
        <v/>
      </c>
      <c r="C106" t="str">
        <f t="shared" si="6"/>
        <v/>
      </c>
      <c r="T106" s="9">
        <f t="shared" si="7"/>
        <v>0</v>
      </c>
      <c r="Z106" s="9">
        <f t="shared" si="8"/>
        <v>0</v>
      </c>
      <c r="AD106" s="9">
        <f t="shared" si="9"/>
        <v>0</v>
      </c>
    </row>
    <row r="107" spans="1:30" x14ac:dyDescent="0.4">
      <c r="A107"/>
      <c r="B107" s="9" t="str">
        <f t="shared" ca="1" si="5"/>
        <v/>
      </c>
      <c r="C107" t="str">
        <f t="shared" si="6"/>
        <v/>
      </c>
      <c r="T107" s="9">
        <f t="shared" si="7"/>
        <v>0</v>
      </c>
      <c r="Z107" s="9">
        <f t="shared" si="8"/>
        <v>0</v>
      </c>
      <c r="AD107" s="9">
        <f t="shared" si="9"/>
        <v>0</v>
      </c>
    </row>
    <row r="108" spans="1:30" x14ac:dyDescent="0.4">
      <c r="A108"/>
      <c r="B108" s="9" t="str">
        <f t="shared" ca="1" si="5"/>
        <v/>
      </c>
      <c r="C108" t="str">
        <f t="shared" si="6"/>
        <v/>
      </c>
      <c r="T108" s="9">
        <f t="shared" si="7"/>
        <v>0</v>
      </c>
      <c r="Z108" s="9">
        <f t="shared" si="8"/>
        <v>0</v>
      </c>
      <c r="AD108" s="9">
        <f t="shared" si="9"/>
        <v>0</v>
      </c>
    </row>
    <row r="109" spans="1:30" x14ac:dyDescent="0.4">
      <c r="A109"/>
      <c r="B109" s="9" t="str">
        <f t="shared" ca="1" si="5"/>
        <v/>
      </c>
      <c r="C109" t="str">
        <f t="shared" si="6"/>
        <v/>
      </c>
      <c r="T109" s="9">
        <f t="shared" si="7"/>
        <v>0</v>
      </c>
      <c r="Z109" s="9">
        <f t="shared" si="8"/>
        <v>0</v>
      </c>
      <c r="AD109" s="9">
        <f t="shared" si="9"/>
        <v>0</v>
      </c>
    </row>
    <row r="110" spans="1:30" x14ac:dyDescent="0.4">
      <c r="A110"/>
      <c r="B110" s="9" t="str">
        <f t="shared" ca="1" si="5"/>
        <v/>
      </c>
      <c r="C110" t="str">
        <f t="shared" si="6"/>
        <v/>
      </c>
      <c r="T110" s="9">
        <f t="shared" si="7"/>
        <v>0</v>
      </c>
      <c r="Z110" s="9">
        <f t="shared" si="8"/>
        <v>0</v>
      </c>
      <c r="AD110" s="9">
        <f t="shared" si="9"/>
        <v>0</v>
      </c>
    </row>
    <row r="111" spans="1:30" x14ac:dyDescent="0.4">
      <c r="A111"/>
      <c r="B111" s="9" t="str">
        <f t="shared" ca="1" si="5"/>
        <v/>
      </c>
      <c r="C111" t="str">
        <f t="shared" si="6"/>
        <v/>
      </c>
      <c r="T111" s="9">
        <f t="shared" si="7"/>
        <v>0</v>
      </c>
      <c r="Z111" s="9">
        <f t="shared" si="8"/>
        <v>0</v>
      </c>
      <c r="AD111" s="9">
        <f t="shared" si="9"/>
        <v>0</v>
      </c>
    </row>
    <row r="112" spans="1:30" x14ac:dyDescent="0.4">
      <c r="A112"/>
      <c r="B112" s="9" t="str">
        <f t="shared" ca="1" si="5"/>
        <v/>
      </c>
      <c r="C112" t="str">
        <f t="shared" si="6"/>
        <v/>
      </c>
      <c r="T112" s="9">
        <f t="shared" si="7"/>
        <v>0</v>
      </c>
      <c r="Z112" s="9">
        <f t="shared" si="8"/>
        <v>0</v>
      </c>
      <c r="AD112" s="9">
        <f t="shared" si="9"/>
        <v>0</v>
      </c>
    </row>
    <row r="113" spans="1:30" x14ac:dyDescent="0.4">
      <c r="A113"/>
      <c r="B113" s="9" t="str">
        <f t="shared" ca="1" si="5"/>
        <v/>
      </c>
      <c r="C113" t="str">
        <f t="shared" si="6"/>
        <v/>
      </c>
      <c r="T113" s="9">
        <f t="shared" si="7"/>
        <v>0</v>
      </c>
      <c r="Z113" s="9">
        <f t="shared" si="8"/>
        <v>0</v>
      </c>
      <c r="AD113" s="9">
        <f t="shared" si="9"/>
        <v>0</v>
      </c>
    </row>
    <row r="114" spans="1:30" x14ac:dyDescent="0.4">
      <c r="A114"/>
      <c r="B114" s="9" t="str">
        <f t="shared" ca="1" si="5"/>
        <v/>
      </c>
      <c r="C114" t="str">
        <f t="shared" si="6"/>
        <v/>
      </c>
      <c r="T114" s="9">
        <f t="shared" si="7"/>
        <v>0</v>
      </c>
      <c r="Z114" s="9">
        <f t="shared" si="8"/>
        <v>0</v>
      </c>
      <c r="AD114" s="9">
        <f t="shared" si="9"/>
        <v>0</v>
      </c>
    </row>
    <row r="115" spans="1:30" x14ac:dyDescent="0.4">
      <c r="A115"/>
      <c r="B115" s="9" t="str">
        <f t="shared" ca="1" si="5"/>
        <v/>
      </c>
      <c r="C115" t="str">
        <f t="shared" si="6"/>
        <v/>
      </c>
      <c r="T115" s="9">
        <f t="shared" si="7"/>
        <v>0</v>
      </c>
      <c r="Z115" s="9">
        <f t="shared" si="8"/>
        <v>0</v>
      </c>
      <c r="AD115" s="9">
        <f t="shared" si="9"/>
        <v>0</v>
      </c>
    </row>
    <row r="116" spans="1:30" x14ac:dyDescent="0.4">
      <c r="A116"/>
      <c r="B116" s="9" t="str">
        <f t="shared" ca="1" si="5"/>
        <v/>
      </c>
      <c r="C116" t="str">
        <f t="shared" si="6"/>
        <v/>
      </c>
      <c r="T116" s="9">
        <f t="shared" si="7"/>
        <v>0</v>
      </c>
      <c r="Z116" s="9">
        <f t="shared" si="8"/>
        <v>0</v>
      </c>
      <c r="AD116" s="9">
        <f t="shared" si="9"/>
        <v>0</v>
      </c>
    </row>
    <row r="117" spans="1:30" x14ac:dyDescent="0.4">
      <c r="A117"/>
      <c r="B117" s="9" t="str">
        <f t="shared" ca="1" si="5"/>
        <v/>
      </c>
      <c r="C117" t="str">
        <f t="shared" si="6"/>
        <v/>
      </c>
      <c r="T117" s="9">
        <f t="shared" si="7"/>
        <v>0</v>
      </c>
      <c r="Z117" s="9">
        <f t="shared" si="8"/>
        <v>0</v>
      </c>
      <c r="AD117" s="9">
        <f t="shared" si="9"/>
        <v>0</v>
      </c>
    </row>
    <row r="118" spans="1:30" x14ac:dyDescent="0.4">
      <c r="A118"/>
      <c r="B118" s="9" t="str">
        <f t="shared" ca="1" si="5"/>
        <v/>
      </c>
      <c r="C118" t="str">
        <f t="shared" si="6"/>
        <v/>
      </c>
      <c r="T118" s="9">
        <f t="shared" si="7"/>
        <v>0</v>
      </c>
      <c r="Z118" s="9">
        <f t="shared" si="8"/>
        <v>0</v>
      </c>
      <c r="AD118" s="9">
        <f t="shared" si="9"/>
        <v>0</v>
      </c>
    </row>
    <row r="119" spans="1:30" x14ac:dyDescent="0.4">
      <c r="A119"/>
      <c r="B119" s="9" t="str">
        <f t="shared" ca="1" si="5"/>
        <v/>
      </c>
      <c r="C119" t="str">
        <f t="shared" si="6"/>
        <v/>
      </c>
      <c r="T119" s="9">
        <f t="shared" si="7"/>
        <v>0</v>
      </c>
      <c r="Z119" s="9">
        <f t="shared" si="8"/>
        <v>0</v>
      </c>
      <c r="AD119" s="9">
        <f t="shared" si="9"/>
        <v>0</v>
      </c>
    </row>
    <row r="120" spans="1:30" x14ac:dyDescent="0.4">
      <c r="A120"/>
      <c r="B120" s="9" t="str">
        <f t="shared" ca="1" si="5"/>
        <v/>
      </c>
      <c r="C120" t="str">
        <f t="shared" si="6"/>
        <v/>
      </c>
      <c r="T120" s="9">
        <f t="shared" si="7"/>
        <v>0</v>
      </c>
      <c r="Z120" s="9">
        <f t="shared" si="8"/>
        <v>0</v>
      </c>
      <c r="AD120" s="9">
        <f t="shared" si="9"/>
        <v>0</v>
      </c>
    </row>
    <row r="121" spans="1:30" x14ac:dyDescent="0.4">
      <c r="A121"/>
      <c r="B121" s="9" t="str">
        <f t="shared" ca="1" si="5"/>
        <v/>
      </c>
      <c r="C121" t="str">
        <f t="shared" si="6"/>
        <v/>
      </c>
      <c r="T121" s="9">
        <f t="shared" si="7"/>
        <v>0</v>
      </c>
      <c r="Z121" s="9">
        <f t="shared" si="8"/>
        <v>0</v>
      </c>
      <c r="AD121" s="9">
        <f t="shared" si="9"/>
        <v>0</v>
      </c>
    </row>
    <row r="122" spans="1:30" x14ac:dyDescent="0.4">
      <c r="A122"/>
      <c r="B122" s="9" t="str">
        <f t="shared" ca="1" si="5"/>
        <v/>
      </c>
      <c r="C122" t="str">
        <f t="shared" si="6"/>
        <v/>
      </c>
      <c r="T122" s="9">
        <f t="shared" si="7"/>
        <v>0</v>
      </c>
      <c r="Z122" s="9">
        <f t="shared" si="8"/>
        <v>0</v>
      </c>
      <c r="AD122" s="9">
        <f t="shared" si="9"/>
        <v>0</v>
      </c>
    </row>
    <row r="123" spans="1:30" x14ac:dyDescent="0.4">
      <c r="A123"/>
      <c r="B123" s="9" t="str">
        <f t="shared" ca="1" si="5"/>
        <v/>
      </c>
      <c r="C123" t="str">
        <f t="shared" si="6"/>
        <v/>
      </c>
      <c r="T123" s="9">
        <f t="shared" si="7"/>
        <v>0</v>
      </c>
      <c r="Z123" s="9">
        <f t="shared" si="8"/>
        <v>0</v>
      </c>
      <c r="AD123" s="9">
        <f t="shared" si="9"/>
        <v>0</v>
      </c>
    </row>
    <row r="124" spans="1:30" x14ac:dyDescent="0.4">
      <c r="A124"/>
      <c r="B124" s="9" t="str">
        <f t="shared" ca="1" si="5"/>
        <v/>
      </c>
      <c r="C124" t="str">
        <f t="shared" si="6"/>
        <v/>
      </c>
      <c r="T124" s="9">
        <f t="shared" si="7"/>
        <v>0</v>
      </c>
      <c r="Z124" s="9">
        <f t="shared" si="8"/>
        <v>0</v>
      </c>
      <c r="AD124" s="9">
        <f t="shared" si="9"/>
        <v>0</v>
      </c>
    </row>
    <row r="125" spans="1:30" x14ac:dyDescent="0.4">
      <c r="A125"/>
      <c r="B125" s="9" t="str">
        <f t="shared" ca="1" si="5"/>
        <v/>
      </c>
      <c r="C125" t="str">
        <f t="shared" si="6"/>
        <v/>
      </c>
      <c r="T125" s="9">
        <f t="shared" si="7"/>
        <v>0</v>
      </c>
      <c r="Z125" s="9">
        <f t="shared" si="8"/>
        <v>0</v>
      </c>
      <c r="AD125" s="9">
        <f t="shared" si="9"/>
        <v>0</v>
      </c>
    </row>
    <row r="126" spans="1:30" x14ac:dyDescent="0.4">
      <c r="A126"/>
      <c r="B126" s="9" t="str">
        <f t="shared" ca="1" si="5"/>
        <v/>
      </c>
      <c r="C126" t="str">
        <f t="shared" si="6"/>
        <v/>
      </c>
      <c r="T126" s="9">
        <f t="shared" si="7"/>
        <v>0</v>
      </c>
      <c r="Z126" s="9">
        <f t="shared" si="8"/>
        <v>0</v>
      </c>
      <c r="AD126" s="9">
        <f t="shared" si="9"/>
        <v>0</v>
      </c>
    </row>
    <row r="127" spans="1:30" x14ac:dyDescent="0.4">
      <c r="A127"/>
      <c r="B127" s="9" t="str">
        <f t="shared" ca="1" si="5"/>
        <v/>
      </c>
      <c r="C127" t="str">
        <f t="shared" si="6"/>
        <v/>
      </c>
      <c r="T127" s="9">
        <f t="shared" si="7"/>
        <v>0</v>
      </c>
      <c r="Z127" s="9">
        <f t="shared" si="8"/>
        <v>0</v>
      </c>
      <c r="AD127" s="9">
        <f t="shared" si="9"/>
        <v>0</v>
      </c>
    </row>
    <row r="128" spans="1:30" x14ac:dyDescent="0.4">
      <c r="A128"/>
      <c r="B128" s="9" t="str">
        <f t="shared" ca="1" si="5"/>
        <v/>
      </c>
      <c r="C128" t="str">
        <f t="shared" si="6"/>
        <v/>
      </c>
      <c r="T128" s="9">
        <f t="shared" si="7"/>
        <v>0</v>
      </c>
      <c r="Z128" s="9">
        <f t="shared" si="8"/>
        <v>0</v>
      </c>
      <c r="AD128" s="9">
        <f t="shared" si="9"/>
        <v>0</v>
      </c>
    </row>
    <row r="129" spans="1:30" x14ac:dyDescent="0.4">
      <c r="A129"/>
      <c r="B129" s="9" t="str">
        <f t="shared" ca="1" si="5"/>
        <v/>
      </c>
      <c r="C129" t="str">
        <f t="shared" si="6"/>
        <v/>
      </c>
      <c r="T129" s="9">
        <f t="shared" si="7"/>
        <v>0</v>
      </c>
      <c r="Z129" s="9">
        <f t="shared" si="8"/>
        <v>0</v>
      </c>
      <c r="AD129" s="9">
        <f t="shared" si="9"/>
        <v>0</v>
      </c>
    </row>
    <row r="130" spans="1:30" x14ac:dyDescent="0.4">
      <c r="A130"/>
      <c r="B130" s="9" t="str">
        <f t="shared" ca="1" si="5"/>
        <v/>
      </c>
      <c r="C130" t="str">
        <f t="shared" si="6"/>
        <v/>
      </c>
      <c r="T130" s="9">
        <f t="shared" si="7"/>
        <v>0</v>
      </c>
      <c r="Z130" s="9">
        <f t="shared" si="8"/>
        <v>0</v>
      </c>
      <c r="AD130" s="9">
        <f t="shared" si="9"/>
        <v>0</v>
      </c>
    </row>
    <row r="131" spans="1:30" x14ac:dyDescent="0.4">
      <c r="A131"/>
      <c r="B131" s="9" t="str">
        <f t="shared" ref="B131:B194" ca="1" si="10">TEXT(IFERROR(LOOKUP(10^8,MID(A131,ROW(INDIRECT("1:"&amp;LEN(A131)-11)),8)+0),IF(A131="","",TRIM(RIGHT(SUBSTITUTE(LEFT(A131,LEN(A131)-4),"\",REPT(" ",50)),50)))),"00000000")</f>
        <v/>
      </c>
      <c r="C131" t="str">
        <f t="shared" ref="C131:C194" si="11">IF(A131="","",$J$1&amp;"\"&amp;A131)</f>
        <v/>
      </c>
      <c r="T131" s="9">
        <f t="shared" si="7"/>
        <v>0</v>
      </c>
      <c r="Z131" s="9">
        <f t="shared" si="8"/>
        <v>0</v>
      </c>
      <c r="AD131" s="9">
        <f t="shared" si="9"/>
        <v>0</v>
      </c>
    </row>
    <row r="132" spans="1:30" x14ac:dyDescent="0.4">
      <c r="A132"/>
      <c r="B132" s="9" t="str">
        <f t="shared" ca="1" si="10"/>
        <v/>
      </c>
      <c r="C132" t="str">
        <f t="shared" si="11"/>
        <v/>
      </c>
      <c r="T132" s="9">
        <f t="shared" si="7"/>
        <v>0</v>
      </c>
      <c r="Z132" s="9">
        <f t="shared" si="8"/>
        <v>0</v>
      </c>
      <c r="AD132" s="9">
        <f t="shared" si="9"/>
        <v>0</v>
      </c>
    </row>
    <row r="133" spans="1:30" x14ac:dyDescent="0.4">
      <c r="A133"/>
      <c r="B133" s="9" t="str">
        <f t="shared" ca="1" si="10"/>
        <v/>
      </c>
      <c r="C133" t="str">
        <f t="shared" si="11"/>
        <v/>
      </c>
      <c r="T133" s="9">
        <f t="shared" si="7"/>
        <v>0</v>
      </c>
      <c r="Z133" s="9">
        <f t="shared" si="8"/>
        <v>0</v>
      </c>
      <c r="AD133" s="9">
        <f t="shared" si="9"/>
        <v>0</v>
      </c>
    </row>
    <row r="134" spans="1:30" x14ac:dyDescent="0.4">
      <c r="A134"/>
      <c r="B134" s="9" t="str">
        <f t="shared" ca="1" si="10"/>
        <v/>
      </c>
      <c r="C134" t="str">
        <f t="shared" si="11"/>
        <v/>
      </c>
      <c r="T134" s="9">
        <f t="shared" si="7"/>
        <v>0</v>
      </c>
      <c r="Z134" s="9">
        <f t="shared" si="8"/>
        <v>0</v>
      </c>
      <c r="AD134" s="9">
        <f t="shared" si="9"/>
        <v>0</v>
      </c>
    </row>
    <row r="135" spans="1:30" x14ac:dyDescent="0.4">
      <c r="A135"/>
      <c r="B135" s="9" t="str">
        <f t="shared" ca="1" si="10"/>
        <v/>
      </c>
      <c r="C135" t="str">
        <f t="shared" si="11"/>
        <v/>
      </c>
      <c r="T135" s="9">
        <f t="shared" si="7"/>
        <v>0</v>
      </c>
      <c r="Z135" s="9">
        <f t="shared" si="8"/>
        <v>0</v>
      </c>
      <c r="AD135" s="9">
        <f t="shared" si="9"/>
        <v>0</v>
      </c>
    </row>
    <row r="136" spans="1:30" x14ac:dyDescent="0.4">
      <c r="A136"/>
      <c r="B136" s="9" t="str">
        <f t="shared" ca="1" si="10"/>
        <v/>
      </c>
      <c r="C136" t="str">
        <f t="shared" si="11"/>
        <v/>
      </c>
      <c r="T136" s="9">
        <f t="shared" ref="T136:T199" si="12">(COUNTIFS(TH_TK,N136,TH_DuNo,O136,TH_DuNoNT,P136,TH_DuCo,Q136,TH_DuCoNT,R136,TH_SoLuong,S136)&gt;0)*1</f>
        <v>0</v>
      </c>
      <c r="Z136" s="9">
        <f t="shared" ref="Z136:Z199" si="13">(COUNTIFS(NV,U136,TK,V136,TongNo,W136,TongCo,X136,SoLuong,Y136)&gt;0)*1</f>
        <v>0</v>
      </c>
      <c r="AD136" s="9">
        <f t="shared" ref="AD136:AD199" si="14">COUNTIFS(ReportType,AA136,ItemCode,AB136,Amount,AC136)</f>
        <v>0</v>
      </c>
    </row>
    <row r="137" spans="1:30" x14ac:dyDescent="0.4">
      <c r="A137"/>
      <c r="B137" s="9" t="str">
        <f t="shared" ca="1" si="10"/>
        <v/>
      </c>
      <c r="C137" t="str">
        <f t="shared" si="11"/>
        <v/>
      </c>
      <c r="T137" s="9">
        <f t="shared" si="12"/>
        <v>0</v>
      </c>
      <c r="Z137" s="9">
        <f t="shared" si="13"/>
        <v>0</v>
      </c>
      <c r="AD137" s="9">
        <f t="shared" si="14"/>
        <v>0</v>
      </c>
    </row>
    <row r="138" spans="1:30" x14ac:dyDescent="0.4">
      <c r="A138"/>
      <c r="B138" s="9" t="str">
        <f t="shared" ca="1" si="10"/>
        <v/>
      </c>
      <c r="C138" t="str">
        <f t="shared" si="11"/>
        <v/>
      </c>
      <c r="T138" s="9">
        <f t="shared" si="12"/>
        <v>0</v>
      </c>
      <c r="Z138" s="9">
        <f t="shared" si="13"/>
        <v>0</v>
      </c>
      <c r="AD138" s="9">
        <f t="shared" si="14"/>
        <v>0</v>
      </c>
    </row>
    <row r="139" spans="1:30" x14ac:dyDescent="0.4">
      <c r="A139"/>
      <c r="B139" s="9" t="str">
        <f t="shared" ca="1" si="10"/>
        <v/>
      </c>
      <c r="C139" t="str">
        <f t="shared" si="11"/>
        <v/>
      </c>
      <c r="T139" s="9">
        <f t="shared" si="12"/>
        <v>0</v>
      </c>
      <c r="Z139" s="9">
        <f t="shared" si="13"/>
        <v>0</v>
      </c>
      <c r="AD139" s="9">
        <f t="shared" si="14"/>
        <v>0</v>
      </c>
    </row>
    <row r="140" spans="1:30" x14ac:dyDescent="0.4">
      <c r="A140"/>
      <c r="B140" s="9" t="str">
        <f t="shared" ca="1" si="10"/>
        <v/>
      </c>
      <c r="C140" t="str">
        <f t="shared" si="11"/>
        <v/>
      </c>
      <c r="T140" s="9">
        <f t="shared" si="12"/>
        <v>0</v>
      </c>
      <c r="Z140" s="9">
        <f t="shared" si="13"/>
        <v>0</v>
      </c>
      <c r="AD140" s="9">
        <f t="shared" si="14"/>
        <v>0</v>
      </c>
    </row>
    <row r="141" spans="1:30" x14ac:dyDescent="0.4">
      <c r="A141"/>
      <c r="B141" s="9" t="str">
        <f t="shared" ca="1" si="10"/>
        <v/>
      </c>
      <c r="C141" t="str">
        <f t="shared" si="11"/>
        <v/>
      </c>
      <c r="T141" s="9">
        <f t="shared" si="12"/>
        <v>0</v>
      </c>
      <c r="Z141" s="9">
        <f t="shared" si="13"/>
        <v>0</v>
      </c>
      <c r="AD141" s="9">
        <f t="shared" si="14"/>
        <v>0</v>
      </c>
    </row>
    <row r="142" spans="1:30" x14ac:dyDescent="0.4">
      <c r="A142"/>
      <c r="B142" s="9" t="str">
        <f t="shared" ca="1" si="10"/>
        <v/>
      </c>
      <c r="C142" t="str">
        <f t="shared" si="11"/>
        <v/>
      </c>
      <c r="T142" s="9">
        <f t="shared" si="12"/>
        <v>0</v>
      </c>
      <c r="Z142" s="9">
        <f t="shared" si="13"/>
        <v>0</v>
      </c>
      <c r="AD142" s="9">
        <f t="shared" si="14"/>
        <v>0</v>
      </c>
    </row>
    <row r="143" spans="1:30" x14ac:dyDescent="0.4">
      <c r="A143"/>
      <c r="B143" s="9" t="str">
        <f t="shared" ca="1" si="10"/>
        <v/>
      </c>
      <c r="C143" t="str">
        <f t="shared" si="11"/>
        <v/>
      </c>
      <c r="T143" s="9">
        <f t="shared" si="12"/>
        <v>0</v>
      </c>
      <c r="Z143" s="9">
        <f t="shared" si="13"/>
        <v>0</v>
      </c>
      <c r="AD143" s="9">
        <f t="shared" si="14"/>
        <v>0</v>
      </c>
    </row>
    <row r="144" spans="1:30" x14ac:dyDescent="0.4">
      <c r="A144"/>
      <c r="B144" s="9" t="str">
        <f t="shared" ca="1" si="10"/>
        <v/>
      </c>
      <c r="C144" t="str">
        <f t="shared" si="11"/>
        <v/>
      </c>
      <c r="T144" s="9">
        <f t="shared" si="12"/>
        <v>0</v>
      </c>
      <c r="Z144" s="9">
        <f t="shared" si="13"/>
        <v>0</v>
      </c>
      <c r="AD144" s="9">
        <f t="shared" si="14"/>
        <v>0</v>
      </c>
    </row>
    <row r="145" spans="1:30" x14ac:dyDescent="0.4">
      <c r="A145"/>
      <c r="B145" s="9" t="str">
        <f t="shared" ca="1" si="10"/>
        <v/>
      </c>
      <c r="C145" t="str">
        <f t="shared" si="11"/>
        <v/>
      </c>
      <c r="T145" s="9">
        <f t="shared" si="12"/>
        <v>0</v>
      </c>
      <c r="Z145" s="9">
        <f t="shared" si="13"/>
        <v>0</v>
      </c>
      <c r="AD145" s="9">
        <f t="shared" si="14"/>
        <v>0</v>
      </c>
    </row>
    <row r="146" spans="1:30" x14ac:dyDescent="0.4">
      <c r="A146"/>
      <c r="B146" s="9" t="str">
        <f t="shared" ca="1" si="10"/>
        <v/>
      </c>
      <c r="C146" t="str">
        <f t="shared" si="11"/>
        <v/>
      </c>
      <c r="T146" s="9">
        <f t="shared" si="12"/>
        <v>0</v>
      </c>
      <c r="Z146" s="9">
        <f t="shared" si="13"/>
        <v>0</v>
      </c>
      <c r="AD146" s="9">
        <f t="shared" si="14"/>
        <v>0</v>
      </c>
    </row>
    <row r="147" spans="1:30" x14ac:dyDescent="0.4">
      <c r="A147"/>
      <c r="B147" s="9" t="str">
        <f t="shared" ca="1" si="10"/>
        <v/>
      </c>
      <c r="C147" t="str">
        <f t="shared" si="11"/>
        <v/>
      </c>
      <c r="T147" s="9">
        <f t="shared" si="12"/>
        <v>0</v>
      </c>
      <c r="Z147" s="9">
        <f t="shared" si="13"/>
        <v>0</v>
      </c>
      <c r="AD147" s="9">
        <f t="shared" si="14"/>
        <v>0</v>
      </c>
    </row>
    <row r="148" spans="1:30" x14ac:dyDescent="0.4">
      <c r="A148"/>
      <c r="B148" s="9" t="str">
        <f t="shared" ca="1" si="10"/>
        <v/>
      </c>
      <c r="C148" t="str">
        <f t="shared" si="11"/>
        <v/>
      </c>
      <c r="T148" s="9">
        <f t="shared" si="12"/>
        <v>0</v>
      </c>
      <c r="Z148" s="9">
        <f t="shared" si="13"/>
        <v>0</v>
      </c>
      <c r="AD148" s="9">
        <f t="shared" si="14"/>
        <v>0</v>
      </c>
    </row>
    <row r="149" spans="1:30" x14ac:dyDescent="0.4">
      <c r="A149"/>
      <c r="B149" s="9" t="str">
        <f t="shared" ca="1" si="10"/>
        <v/>
      </c>
      <c r="C149" t="str">
        <f t="shared" si="11"/>
        <v/>
      </c>
      <c r="T149" s="9">
        <f t="shared" si="12"/>
        <v>0</v>
      </c>
      <c r="Z149" s="9">
        <f t="shared" si="13"/>
        <v>0</v>
      </c>
      <c r="AD149" s="9">
        <f t="shared" si="14"/>
        <v>0</v>
      </c>
    </row>
    <row r="150" spans="1:30" x14ac:dyDescent="0.4">
      <c r="A150"/>
      <c r="B150" s="9" t="str">
        <f t="shared" ca="1" si="10"/>
        <v/>
      </c>
      <c r="C150" t="str">
        <f t="shared" si="11"/>
        <v/>
      </c>
      <c r="T150" s="9">
        <f t="shared" si="12"/>
        <v>0</v>
      </c>
      <c r="Z150" s="9">
        <f t="shared" si="13"/>
        <v>0</v>
      </c>
      <c r="AD150" s="9">
        <f t="shared" si="14"/>
        <v>0</v>
      </c>
    </row>
    <row r="151" spans="1:30" x14ac:dyDescent="0.4">
      <c r="A151"/>
      <c r="B151" s="9" t="str">
        <f t="shared" ca="1" si="10"/>
        <v/>
      </c>
      <c r="C151" t="str">
        <f t="shared" si="11"/>
        <v/>
      </c>
      <c r="T151" s="9">
        <f t="shared" si="12"/>
        <v>0</v>
      </c>
      <c r="Z151" s="9">
        <f t="shared" si="13"/>
        <v>0</v>
      </c>
      <c r="AD151" s="9">
        <f t="shared" si="14"/>
        <v>0</v>
      </c>
    </row>
    <row r="152" spans="1:30" x14ac:dyDescent="0.4">
      <c r="A152"/>
      <c r="B152" s="9" t="str">
        <f t="shared" ca="1" si="10"/>
        <v/>
      </c>
      <c r="C152" t="str">
        <f t="shared" si="11"/>
        <v/>
      </c>
      <c r="T152" s="9">
        <f t="shared" si="12"/>
        <v>0</v>
      </c>
      <c r="Z152" s="9">
        <f t="shared" si="13"/>
        <v>0</v>
      </c>
      <c r="AD152" s="9">
        <f t="shared" si="14"/>
        <v>0</v>
      </c>
    </row>
    <row r="153" spans="1:30" x14ac:dyDescent="0.4">
      <c r="A153"/>
      <c r="B153" s="9" t="str">
        <f t="shared" ca="1" si="10"/>
        <v/>
      </c>
      <c r="C153" t="str">
        <f t="shared" si="11"/>
        <v/>
      </c>
      <c r="T153" s="9">
        <f t="shared" si="12"/>
        <v>0</v>
      </c>
      <c r="Z153" s="9">
        <f t="shared" si="13"/>
        <v>0</v>
      </c>
      <c r="AD153" s="9">
        <f t="shared" si="14"/>
        <v>0</v>
      </c>
    </row>
    <row r="154" spans="1:30" x14ac:dyDescent="0.4">
      <c r="A154"/>
      <c r="B154" s="9" t="str">
        <f t="shared" ca="1" si="10"/>
        <v/>
      </c>
      <c r="C154" t="str">
        <f t="shared" si="11"/>
        <v/>
      </c>
      <c r="T154" s="9">
        <f t="shared" si="12"/>
        <v>0</v>
      </c>
      <c r="Z154" s="9">
        <f t="shared" si="13"/>
        <v>0</v>
      </c>
      <c r="AD154" s="9">
        <f t="shared" si="14"/>
        <v>0</v>
      </c>
    </row>
    <row r="155" spans="1:30" x14ac:dyDescent="0.4">
      <c r="A155"/>
      <c r="B155" s="9" t="str">
        <f t="shared" ca="1" si="10"/>
        <v/>
      </c>
      <c r="C155" t="str">
        <f t="shared" si="11"/>
        <v/>
      </c>
      <c r="T155" s="9">
        <f t="shared" si="12"/>
        <v>0</v>
      </c>
      <c r="Z155" s="9">
        <f t="shared" si="13"/>
        <v>0</v>
      </c>
      <c r="AD155" s="9">
        <f t="shared" si="14"/>
        <v>0</v>
      </c>
    </row>
    <row r="156" spans="1:30" x14ac:dyDescent="0.4">
      <c r="A156"/>
      <c r="B156" s="9" t="str">
        <f t="shared" ca="1" si="10"/>
        <v/>
      </c>
      <c r="C156" t="str">
        <f t="shared" si="11"/>
        <v/>
      </c>
      <c r="T156" s="9">
        <f t="shared" si="12"/>
        <v>0</v>
      </c>
      <c r="Z156" s="9">
        <f t="shared" si="13"/>
        <v>0</v>
      </c>
      <c r="AD156" s="9">
        <f t="shared" si="14"/>
        <v>0</v>
      </c>
    </row>
    <row r="157" spans="1:30" x14ac:dyDescent="0.4">
      <c r="A157"/>
      <c r="B157" s="9" t="str">
        <f t="shared" ca="1" si="10"/>
        <v/>
      </c>
      <c r="C157" t="str">
        <f t="shared" si="11"/>
        <v/>
      </c>
      <c r="T157" s="9">
        <f t="shared" si="12"/>
        <v>0</v>
      </c>
      <c r="Z157" s="9">
        <f t="shared" si="13"/>
        <v>0</v>
      </c>
      <c r="AD157" s="9">
        <f t="shared" si="14"/>
        <v>0</v>
      </c>
    </row>
    <row r="158" spans="1:30" x14ac:dyDescent="0.4">
      <c r="A158"/>
      <c r="B158" s="9" t="str">
        <f t="shared" ca="1" si="10"/>
        <v/>
      </c>
      <c r="C158" t="str">
        <f t="shared" si="11"/>
        <v/>
      </c>
      <c r="T158" s="9">
        <f t="shared" si="12"/>
        <v>0</v>
      </c>
      <c r="Z158" s="9">
        <f t="shared" si="13"/>
        <v>0</v>
      </c>
      <c r="AD158" s="9">
        <f t="shared" si="14"/>
        <v>0</v>
      </c>
    </row>
    <row r="159" spans="1:30" x14ac:dyDescent="0.4">
      <c r="A159"/>
      <c r="B159" s="9" t="str">
        <f t="shared" ca="1" si="10"/>
        <v/>
      </c>
      <c r="C159" t="str">
        <f t="shared" si="11"/>
        <v/>
      </c>
      <c r="T159" s="9">
        <f t="shared" si="12"/>
        <v>0</v>
      </c>
      <c r="Z159" s="9">
        <f t="shared" si="13"/>
        <v>0</v>
      </c>
      <c r="AD159" s="9">
        <f t="shared" si="14"/>
        <v>0</v>
      </c>
    </row>
    <row r="160" spans="1:30" x14ac:dyDescent="0.4">
      <c r="A160"/>
      <c r="B160" s="9" t="str">
        <f t="shared" ca="1" si="10"/>
        <v/>
      </c>
      <c r="C160" t="str">
        <f t="shared" si="11"/>
        <v/>
      </c>
      <c r="T160" s="9">
        <f t="shared" si="12"/>
        <v>0</v>
      </c>
      <c r="Z160" s="9">
        <f t="shared" si="13"/>
        <v>0</v>
      </c>
      <c r="AD160" s="9">
        <f t="shared" si="14"/>
        <v>0</v>
      </c>
    </row>
    <row r="161" spans="1:30" x14ac:dyDescent="0.4">
      <c r="A161"/>
      <c r="B161" s="9" t="str">
        <f t="shared" ca="1" si="10"/>
        <v/>
      </c>
      <c r="C161" t="str">
        <f t="shared" si="11"/>
        <v/>
      </c>
      <c r="T161" s="9">
        <f t="shared" si="12"/>
        <v>0</v>
      </c>
      <c r="Z161" s="9">
        <f t="shared" si="13"/>
        <v>0</v>
      </c>
      <c r="AD161" s="9">
        <f t="shared" si="14"/>
        <v>0</v>
      </c>
    </row>
    <row r="162" spans="1:30" x14ac:dyDescent="0.4">
      <c r="A162"/>
      <c r="B162" s="9" t="str">
        <f t="shared" ca="1" si="10"/>
        <v/>
      </c>
      <c r="C162" t="str">
        <f t="shared" si="11"/>
        <v/>
      </c>
      <c r="T162" s="9">
        <f t="shared" si="12"/>
        <v>0</v>
      </c>
      <c r="Z162" s="9">
        <f t="shared" si="13"/>
        <v>0</v>
      </c>
      <c r="AD162" s="9">
        <f t="shared" si="14"/>
        <v>0</v>
      </c>
    </row>
    <row r="163" spans="1:30" x14ac:dyDescent="0.4">
      <c r="A163"/>
      <c r="B163" s="9" t="str">
        <f t="shared" ca="1" si="10"/>
        <v/>
      </c>
      <c r="C163" t="str">
        <f t="shared" si="11"/>
        <v/>
      </c>
      <c r="T163" s="9">
        <f t="shared" si="12"/>
        <v>0</v>
      </c>
      <c r="Z163" s="9">
        <f t="shared" si="13"/>
        <v>0</v>
      </c>
      <c r="AD163" s="9">
        <f t="shared" si="14"/>
        <v>0</v>
      </c>
    </row>
    <row r="164" spans="1:30" x14ac:dyDescent="0.4">
      <c r="A164"/>
      <c r="B164" s="9" t="str">
        <f t="shared" ca="1" si="10"/>
        <v/>
      </c>
      <c r="C164" t="str">
        <f t="shared" si="11"/>
        <v/>
      </c>
      <c r="T164" s="9">
        <f t="shared" si="12"/>
        <v>0</v>
      </c>
      <c r="Z164" s="9">
        <f t="shared" si="13"/>
        <v>0</v>
      </c>
      <c r="AD164" s="9">
        <f t="shared" si="14"/>
        <v>0</v>
      </c>
    </row>
    <row r="165" spans="1:30" x14ac:dyDescent="0.4">
      <c r="A165"/>
      <c r="B165" s="9" t="str">
        <f t="shared" ca="1" si="10"/>
        <v/>
      </c>
      <c r="C165" t="str">
        <f t="shared" si="11"/>
        <v/>
      </c>
      <c r="T165" s="9">
        <f t="shared" si="12"/>
        <v>0</v>
      </c>
      <c r="Z165" s="9">
        <f t="shared" si="13"/>
        <v>0</v>
      </c>
      <c r="AD165" s="9">
        <f t="shared" si="14"/>
        <v>0</v>
      </c>
    </row>
    <row r="166" spans="1:30" x14ac:dyDescent="0.4">
      <c r="A166"/>
      <c r="B166" s="9" t="str">
        <f t="shared" ca="1" si="10"/>
        <v/>
      </c>
      <c r="C166" t="str">
        <f t="shared" si="11"/>
        <v/>
      </c>
      <c r="T166" s="9">
        <f t="shared" si="12"/>
        <v>0</v>
      </c>
      <c r="Z166" s="9">
        <f t="shared" si="13"/>
        <v>0</v>
      </c>
      <c r="AD166" s="9">
        <f t="shared" si="14"/>
        <v>0</v>
      </c>
    </row>
    <row r="167" spans="1:30" x14ac:dyDescent="0.4">
      <c r="A167"/>
      <c r="B167" s="9" t="str">
        <f t="shared" ca="1" si="10"/>
        <v/>
      </c>
      <c r="C167" t="str">
        <f t="shared" si="11"/>
        <v/>
      </c>
      <c r="T167" s="9">
        <f t="shared" si="12"/>
        <v>0</v>
      </c>
      <c r="Z167" s="9">
        <f t="shared" si="13"/>
        <v>0</v>
      </c>
      <c r="AD167" s="9">
        <f t="shared" si="14"/>
        <v>0</v>
      </c>
    </row>
    <row r="168" spans="1:30" x14ac:dyDescent="0.4">
      <c r="A168"/>
      <c r="B168" s="9" t="str">
        <f t="shared" ca="1" si="10"/>
        <v/>
      </c>
      <c r="C168" t="str">
        <f t="shared" si="11"/>
        <v/>
      </c>
      <c r="T168" s="9">
        <f t="shared" si="12"/>
        <v>0</v>
      </c>
      <c r="Z168" s="9">
        <f t="shared" si="13"/>
        <v>0</v>
      </c>
      <c r="AD168" s="9">
        <f t="shared" si="14"/>
        <v>0</v>
      </c>
    </row>
    <row r="169" spans="1:30" x14ac:dyDescent="0.4">
      <c r="A169"/>
      <c r="B169" s="9" t="str">
        <f t="shared" ca="1" si="10"/>
        <v/>
      </c>
      <c r="C169" t="str">
        <f t="shared" si="11"/>
        <v/>
      </c>
      <c r="T169" s="9">
        <f t="shared" si="12"/>
        <v>0</v>
      </c>
      <c r="Z169" s="9">
        <f t="shared" si="13"/>
        <v>0</v>
      </c>
      <c r="AD169" s="9">
        <f t="shared" si="14"/>
        <v>0</v>
      </c>
    </row>
    <row r="170" spans="1:30" x14ac:dyDescent="0.4">
      <c r="A170"/>
      <c r="B170" s="9" t="str">
        <f t="shared" ca="1" si="10"/>
        <v/>
      </c>
      <c r="C170" t="str">
        <f t="shared" si="11"/>
        <v/>
      </c>
      <c r="T170" s="9">
        <f t="shared" si="12"/>
        <v>0</v>
      </c>
      <c r="Z170" s="9">
        <f t="shared" si="13"/>
        <v>0</v>
      </c>
      <c r="AD170" s="9">
        <f t="shared" si="14"/>
        <v>0</v>
      </c>
    </row>
    <row r="171" spans="1:30" x14ac:dyDescent="0.4">
      <c r="A171"/>
      <c r="B171" s="9" t="str">
        <f t="shared" ca="1" si="10"/>
        <v/>
      </c>
      <c r="C171" t="str">
        <f t="shared" si="11"/>
        <v/>
      </c>
      <c r="T171" s="9">
        <f t="shared" si="12"/>
        <v>0</v>
      </c>
      <c r="Z171" s="9">
        <f t="shared" si="13"/>
        <v>0</v>
      </c>
      <c r="AD171" s="9">
        <f t="shared" si="14"/>
        <v>0</v>
      </c>
    </row>
    <row r="172" spans="1:30" x14ac:dyDescent="0.4">
      <c r="A172"/>
      <c r="B172" s="9" t="str">
        <f t="shared" ca="1" si="10"/>
        <v/>
      </c>
      <c r="C172" t="str">
        <f t="shared" si="11"/>
        <v/>
      </c>
      <c r="T172" s="9">
        <f t="shared" si="12"/>
        <v>0</v>
      </c>
      <c r="Z172" s="9">
        <f t="shared" si="13"/>
        <v>0</v>
      </c>
      <c r="AD172" s="9">
        <f t="shared" si="14"/>
        <v>0</v>
      </c>
    </row>
    <row r="173" spans="1:30" x14ac:dyDescent="0.4">
      <c r="A173"/>
      <c r="B173" s="9" t="str">
        <f t="shared" ca="1" si="10"/>
        <v/>
      </c>
      <c r="C173" t="str">
        <f t="shared" si="11"/>
        <v/>
      </c>
      <c r="T173" s="9">
        <f t="shared" si="12"/>
        <v>0</v>
      </c>
      <c r="Z173" s="9">
        <f t="shared" si="13"/>
        <v>0</v>
      </c>
      <c r="AD173" s="9">
        <f t="shared" si="14"/>
        <v>0</v>
      </c>
    </row>
    <row r="174" spans="1:30" x14ac:dyDescent="0.4">
      <c r="A174"/>
      <c r="B174" s="9" t="str">
        <f t="shared" ca="1" si="10"/>
        <v/>
      </c>
      <c r="C174" t="str">
        <f t="shared" si="11"/>
        <v/>
      </c>
      <c r="T174" s="9">
        <f t="shared" si="12"/>
        <v>0</v>
      </c>
      <c r="Z174" s="9">
        <f t="shared" si="13"/>
        <v>0</v>
      </c>
      <c r="AD174" s="9">
        <f t="shared" si="14"/>
        <v>0</v>
      </c>
    </row>
    <row r="175" spans="1:30" x14ac:dyDescent="0.4">
      <c r="A175"/>
      <c r="B175" s="9" t="str">
        <f t="shared" ca="1" si="10"/>
        <v/>
      </c>
      <c r="C175" t="str">
        <f t="shared" si="11"/>
        <v/>
      </c>
      <c r="T175" s="9">
        <f t="shared" si="12"/>
        <v>0</v>
      </c>
      <c r="Z175" s="9">
        <f t="shared" si="13"/>
        <v>0</v>
      </c>
      <c r="AD175" s="9">
        <f t="shared" si="14"/>
        <v>0</v>
      </c>
    </row>
    <row r="176" spans="1:30" x14ac:dyDescent="0.4">
      <c r="A176"/>
      <c r="B176" s="9" t="str">
        <f t="shared" ca="1" si="10"/>
        <v/>
      </c>
      <c r="C176" t="str">
        <f t="shared" si="11"/>
        <v/>
      </c>
      <c r="T176" s="9">
        <f t="shared" si="12"/>
        <v>0</v>
      </c>
      <c r="Z176" s="9">
        <f t="shared" si="13"/>
        <v>0</v>
      </c>
      <c r="AD176" s="9">
        <f t="shared" si="14"/>
        <v>0</v>
      </c>
    </row>
    <row r="177" spans="1:30" x14ac:dyDescent="0.4">
      <c r="A177"/>
      <c r="B177" s="9" t="str">
        <f t="shared" ca="1" si="10"/>
        <v/>
      </c>
      <c r="C177" t="str">
        <f t="shared" si="11"/>
        <v/>
      </c>
      <c r="T177" s="9">
        <f t="shared" si="12"/>
        <v>0</v>
      </c>
      <c r="Z177" s="9">
        <f t="shared" si="13"/>
        <v>0</v>
      </c>
      <c r="AD177" s="9">
        <f t="shared" si="14"/>
        <v>0</v>
      </c>
    </row>
    <row r="178" spans="1:30" x14ac:dyDescent="0.4">
      <c r="A178"/>
      <c r="B178" s="9" t="str">
        <f t="shared" ca="1" si="10"/>
        <v/>
      </c>
      <c r="C178" t="str">
        <f t="shared" si="11"/>
        <v/>
      </c>
      <c r="T178" s="9">
        <f t="shared" si="12"/>
        <v>0</v>
      </c>
      <c r="Z178" s="9">
        <f t="shared" si="13"/>
        <v>0</v>
      </c>
      <c r="AD178" s="9">
        <f t="shared" si="14"/>
        <v>0</v>
      </c>
    </row>
    <row r="179" spans="1:30" x14ac:dyDescent="0.4">
      <c r="A179"/>
      <c r="B179" s="9" t="str">
        <f t="shared" ca="1" si="10"/>
        <v/>
      </c>
      <c r="C179" t="str">
        <f t="shared" si="11"/>
        <v/>
      </c>
      <c r="T179" s="9">
        <f t="shared" si="12"/>
        <v>0</v>
      </c>
      <c r="Z179" s="9">
        <f t="shared" si="13"/>
        <v>0</v>
      </c>
      <c r="AD179" s="9">
        <f t="shared" si="14"/>
        <v>0</v>
      </c>
    </row>
    <row r="180" spans="1:30" x14ac:dyDescent="0.4">
      <c r="A180"/>
      <c r="B180" s="9" t="str">
        <f t="shared" ca="1" si="10"/>
        <v/>
      </c>
      <c r="C180" t="str">
        <f t="shared" si="11"/>
        <v/>
      </c>
      <c r="T180" s="9">
        <f t="shared" si="12"/>
        <v>0</v>
      </c>
      <c r="Z180" s="9">
        <f t="shared" si="13"/>
        <v>0</v>
      </c>
      <c r="AD180" s="9">
        <f t="shared" si="14"/>
        <v>0</v>
      </c>
    </row>
    <row r="181" spans="1:30" x14ac:dyDescent="0.4">
      <c r="A181"/>
      <c r="B181" s="9" t="str">
        <f t="shared" ca="1" si="10"/>
        <v/>
      </c>
      <c r="C181" t="str">
        <f t="shared" si="11"/>
        <v/>
      </c>
      <c r="T181" s="9">
        <f t="shared" si="12"/>
        <v>0</v>
      </c>
      <c r="Z181" s="9">
        <f t="shared" si="13"/>
        <v>0</v>
      </c>
      <c r="AD181" s="9">
        <f t="shared" si="14"/>
        <v>0</v>
      </c>
    </row>
    <row r="182" spans="1:30" x14ac:dyDescent="0.4">
      <c r="A182"/>
      <c r="B182" s="9" t="str">
        <f t="shared" ca="1" si="10"/>
        <v/>
      </c>
      <c r="C182" t="str">
        <f t="shared" si="11"/>
        <v/>
      </c>
      <c r="T182" s="9">
        <f t="shared" si="12"/>
        <v>0</v>
      </c>
      <c r="Z182" s="9">
        <f t="shared" si="13"/>
        <v>0</v>
      </c>
      <c r="AD182" s="9">
        <f t="shared" si="14"/>
        <v>0</v>
      </c>
    </row>
    <row r="183" spans="1:30" x14ac:dyDescent="0.4">
      <c r="A183"/>
      <c r="B183" s="9" t="str">
        <f t="shared" ca="1" si="10"/>
        <v/>
      </c>
      <c r="C183" t="str">
        <f t="shared" si="11"/>
        <v/>
      </c>
      <c r="T183" s="9">
        <f t="shared" si="12"/>
        <v>0</v>
      </c>
      <c r="Z183" s="9">
        <f t="shared" si="13"/>
        <v>0</v>
      </c>
      <c r="AD183" s="9">
        <f t="shared" si="14"/>
        <v>0</v>
      </c>
    </row>
    <row r="184" spans="1:30" x14ac:dyDescent="0.4">
      <c r="A184"/>
      <c r="B184" s="9" t="str">
        <f t="shared" ca="1" si="10"/>
        <v/>
      </c>
      <c r="C184" t="str">
        <f t="shared" si="11"/>
        <v/>
      </c>
      <c r="T184" s="9">
        <f t="shared" si="12"/>
        <v>0</v>
      </c>
      <c r="Z184" s="9">
        <f t="shared" si="13"/>
        <v>0</v>
      </c>
      <c r="AD184" s="9">
        <f t="shared" si="14"/>
        <v>0</v>
      </c>
    </row>
    <row r="185" spans="1:30" x14ac:dyDescent="0.4">
      <c r="A185"/>
      <c r="B185" s="9" t="str">
        <f t="shared" ca="1" si="10"/>
        <v/>
      </c>
      <c r="C185" t="str">
        <f t="shared" si="11"/>
        <v/>
      </c>
      <c r="T185" s="9">
        <f t="shared" si="12"/>
        <v>0</v>
      </c>
      <c r="Z185" s="9">
        <f t="shared" si="13"/>
        <v>0</v>
      </c>
      <c r="AD185" s="9">
        <f t="shared" si="14"/>
        <v>0</v>
      </c>
    </row>
    <row r="186" spans="1:30" x14ac:dyDescent="0.4">
      <c r="A186"/>
      <c r="B186" s="9" t="str">
        <f t="shared" ca="1" si="10"/>
        <v/>
      </c>
      <c r="C186" t="str">
        <f t="shared" si="11"/>
        <v/>
      </c>
      <c r="T186" s="9">
        <f t="shared" si="12"/>
        <v>0</v>
      </c>
      <c r="Z186" s="9">
        <f t="shared" si="13"/>
        <v>0</v>
      </c>
      <c r="AD186" s="9">
        <f t="shared" si="14"/>
        <v>0</v>
      </c>
    </row>
    <row r="187" spans="1:30" x14ac:dyDescent="0.4">
      <c r="A187"/>
      <c r="B187" s="9" t="str">
        <f t="shared" ca="1" si="10"/>
        <v/>
      </c>
      <c r="C187" t="str">
        <f t="shared" si="11"/>
        <v/>
      </c>
      <c r="T187" s="9">
        <f t="shared" si="12"/>
        <v>0</v>
      </c>
      <c r="Z187" s="9">
        <f t="shared" si="13"/>
        <v>0</v>
      </c>
      <c r="AD187" s="9">
        <f t="shared" si="14"/>
        <v>0</v>
      </c>
    </row>
    <row r="188" spans="1:30" x14ac:dyDescent="0.4">
      <c r="A188"/>
      <c r="B188" s="9" t="str">
        <f t="shared" ca="1" si="10"/>
        <v/>
      </c>
      <c r="C188" t="str">
        <f t="shared" si="11"/>
        <v/>
      </c>
      <c r="T188" s="9">
        <f t="shared" si="12"/>
        <v>0</v>
      </c>
      <c r="Z188" s="9">
        <f t="shared" si="13"/>
        <v>0</v>
      </c>
      <c r="AD188" s="9">
        <f t="shared" si="14"/>
        <v>0</v>
      </c>
    </row>
    <row r="189" spans="1:30" x14ac:dyDescent="0.4">
      <c r="A189"/>
      <c r="B189" s="9" t="str">
        <f t="shared" ca="1" si="10"/>
        <v/>
      </c>
      <c r="C189" t="str">
        <f t="shared" si="11"/>
        <v/>
      </c>
      <c r="T189" s="9">
        <f t="shared" si="12"/>
        <v>0</v>
      </c>
      <c r="Z189" s="9">
        <f t="shared" si="13"/>
        <v>0</v>
      </c>
      <c r="AD189" s="9">
        <f t="shared" si="14"/>
        <v>0</v>
      </c>
    </row>
    <row r="190" spans="1:30" x14ac:dyDescent="0.4">
      <c r="A190"/>
      <c r="B190" s="9" t="str">
        <f t="shared" ca="1" si="10"/>
        <v/>
      </c>
      <c r="C190" t="str">
        <f t="shared" si="11"/>
        <v/>
      </c>
      <c r="T190" s="9">
        <f t="shared" si="12"/>
        <v>0</v>
      </c>
      <c r="Z190" s="9">
        <f t="shared" si="13"/>
        <v>0</v>
      </c>
      <c r="AD190" s="9">
        <f t="shared" si="14"/>
        <v>0</v>
      </c>
    </row>
    <row r="191" spans="1:30" x14ac:dyDescent="0.4">
      <c r="A191"/>
      <c r="B191" s="9" t="str">
        <f t="shared" ca="1" si="10"/>
        <v/>
      </c>
      <c r="C191" t="str">
        <f t="shared" si="11"/>
        <v/>
      </c>
      <c r="T191" s="9">
        <f t="shared" si="12"/>
        <v>0</v>
      </c>
      <c r="Z191" s="9">
        <f t="shared" si="13"/>
        <v>0</v>
      </c>
      <c r="AD191" s="9">
        <f t="shared" si="14"/>
        <v>0</v>
      </c>
    </row>
    <row r="192" spans="1:30" x14ac:dyDescent="0.4">
      <c r="A192"/>
      <c r="B192" s="9" t="str">
        <f t="shared" ca="1" si="10"/>
        <v/>
      </c>
      <c r="C192" t="str">
        <f t="shared" si="11"/>
        <v/>
      </c>
      <c r="T192" s="9">
        <f t="shared" si="12"/>
        <v>0</v>
      </c>
      <c r="Z192" s="9">
        <f t="shared" si="13"/>
        <v>0</v>
      </c>
      <c r="AD192" s="9">
        <f t="shared" si="14"/>
        <v>0</v>
      </c>
    </row>
    <row r="193" spans="1:30" x14ac:dyDescent="0.4">
      <c r="A193"/>
      <c r="B193" s="9" t="str">
        <f t="shared" ca="1" si="10"/>
        <v/>
      </c>
      <c r="C193" t="str">
        <f t="shared" si="11"/>
        <v/>
      </c>
      <c r="T193" s="9">
        <f t="shared" si="12"/>
        <v>0</v>
      </c>
      <c r="Z193" s="9">
        <f t="shared" si="13"/>
        <v>0</v>
      </c>
      <c r="AD193" s="9">
        <f t="shared" si="14"/>
        <v>0</v>
      </c>
    </row>
    <row r="194" spans="1:30" x14ac:dyDescent="0.4">
      <c r="A194"/>
      <c r="B194" s="9" t="str">
        <f t="shared" ca="1" si="10"/>
        <v/>
      </c>
      <c r="C194" t="str">
        <f t="shared" si="11"/>
        <v/>
      </c>
      <c r="T194" s="9">
        <f t="shared" si="12"/>
        <v>0</v>
      </c>
      <c r="Z194" s="9">
        <f t="shared" si="13"/>
        <v>0</v>
      </c>
      <c r="AD194" s="9">
        <f t="shared" si="14"/>
        <v>0</v>
      </c>
    </row>
    <row r="195" spans="1:30" x14ac:dyDescent="0.4">
      <c r="A195"/>
      <c r="B195" s="9" t="str">
        <f t="shared" ref="B195:B258" ca="1" si="15">TEXT(IFERROR(LOOKUP(10^8,MID(A195,ROW(INDIRECT("1:"&amp;LEN(A195)-11)),8)+0),IF(A195="","",TRIM(RIGHT(SUBSTITUTE(LEFT(A195,LEN(A195)-4),"\",REPT(" ",50)),50)))),"00000000")</f>
        <v/>
      </c>
      <c r="C195" t="str">
        <f t="shared" ref="C195:C258" si="16">IF(A195="","",$J$1&amp;"\"&amp;A195)</f>
        <v/>
      </c>
      <c r="T195" s="9">
        <f t="shared" si="12"/>
        <v>0</v>
      </c>
      <c r="Z195" s="9">
        <f t="shared" si="13"/>
        <v>0</v>
      </c>
      <c r="AD195" s="9">
        <f t="shared" si="14"/>
        <v>0</v>
      </c>
    </row>
    <row r="196" spans="1:30" x14ac:dyDescent="0.4">
      <c r="A196"/>
      <c r="B196" s="9" t="str">
        <f t="shared" ca="1" si="15"/>
        <v/>
      </c>
      <c r="C196" t="str">
        <f t="shared" si="16"/>
        <v/>
      </c>
      <c r="T196" s="9">
        <f t="shared" si="12"/>
        <v>0</v>
      </c>
      <c r="Z196" s="9">
        <f t="shared" si="13"/>
        <v>0</v>
      </c>
      <c r="AD196" s="9">
        <f t="shared" si="14"/>
        <v>0</v>
      </c>
    </row>
    <row r="197" spans="1:30" x14ac:dyDescent="0.4">
      <c r="A197"/>
      <c r="B197" s="9" t="str">
        <f t="shared" ca="1" si="15"/>
        <v/>
      </c>
      <c r="C197" t="str">
        <f t="shared" si="16"/>
        <v/>
      </c>
      <c r="T197" s="9">
        <f t="shared" si="12"/>
        <v>0</v>
      </c>
      <c r="Z197" s="9">
        <f t="shared" si="13"/>
        <v>0</v>
      </c>
      <c r="AD197" s="9">
        <f t="shared" si="14"/>
        <v>0</v>
      </c>
    </row>
    <row r="198" spans="1:30" x14ac:dyDescent="0.4">
      <c r="A198"/>
      <c r="B198" s="9" t="str">
        <f t="shared" ca="1" si="15"/>
        <v/>
      </c>
      <c r="C198" t="str">
        <f t="shared" si="16"/>
        <v/>
      </c>
      <c r="T198" s="9">
        <f t="shared" si="12"/>
        <v>0</v>
      </c>
      <c r="Z198" s="9">
        <f t="shared" si="13"/>
        <v>0</v>
      </c>
      <c r="AD198" s="9">
        <f t="shared" si="14"/>
        <v>0</v>
      </c>
    </row>
    <row r="199" spans="1:30" x14ac:dyDescent="0.4">
      <c r="A199"/>
      <c r="B199" s="9" t="str">
        <f t="shared" ca="1" si="15"/>
        <v/>
      </c>
      <c r="C199" t="str">
        <f t="shared" si="16"/>
        <v/>
      </c>
      <c r="T199" s="9">
        <f t="shared" si="12"/>
        <v>0</v>
      </c>
      <c r="Z199" s="9">
        <f t="shared" si="13"/>
        <v>0</v>
      </c>
      <c r="AD199" s="9">
        <f t="shared" si="14"/>
        <v>0</v>
      </c>
    </row>
    <row r="200" spans="1:30" x14ac:dyDescent="0.4">
      <c r="A200"/>
      <c r="B200" s="9" t="str">
        <f t="shared" ca="1" si="15"/>
        <v/>
      </c>
      <c r="C200" t="str">
        <f t="shared" si="16"/>
        <v/>
      </c>
      <c r="T200" s="9">
        <f t="shared" ref="T200:T263" si="17">(COUNTIFS(TH_TK,N200,TH_DuNo,O200,TH_DuNoNT,P200,TH_DuCo,Q200,TH_DuCoNT,R200,TH_SoLuong,S200)&gt;0)*1</f>
        <v>0</v>
      </c>
      <c r="Z200" s="9">
        <f t="shared" ref="Z200:Z263" si="18">(COUNTIFS(NV,U200,TK,V200,TongNo,W200,TongCo,X200,SoLuong,Y200)&gt;0)*1</f>
        <v>0</v>
      </c>
      <c r="AD200" s="9">
        <f t="shared" ref="AD200:AD263" si="19">COUNTIFS(ReportType,AA200,ItemCode,AB200,Amount,AC200)</f>
        <v>0</v>
      </c>
    </row>
    <row r="201" spans="1:30" x14ac:dyDescent="0.4">
      <c r="A201"/>
      <c r="B201" s="9" t="str">
        <f t="shared" ca="1" si="15"/>
        <v/>
      </c>
      <c r="C201" t="str">
        <f t="shared" si="16"/>
        <v/>
      </c>
      <c r="T201" s="9">
        <f t="shared" si="17"/>
        <v>0</v>
      </c>
      <c r="Z201" s="9">
        <f t="shared" si="18"/>
        <v>0</v>
      </c>
      <c r="AD201" s="9">
        <f t="shared" si="19"/>
        <v>0</v>
      </c>
    </row>
    <row r="202" spans="1:30" x14ac:dyDescent="0.4">
      <c r="A202"/>
      <c r="B202" s="9" t="str">
        <f t="shared" ca="1" si="15"/>
        <v/>
      </c>
      <c r="C202" t="str">
        <f t="shared" si="16"/>
        <v/>
      </c>
      <c r="T202" s="9">
        <f t="shared" si="17"/>
        <v>0</v>
      </c>
      <c r="Z202" s="9">
        <f t="shared" si="18"/>
        <v>0</v>
      </c>
      <c r="AD202" s="9">
        <f t="shared" si="19"/>
        <v>0</v>
      </c>
    </row>
    <row r="203" spans="1:30" x14ac:dyDescent="0.4">
      <c r="A203"/>
      <c r="B203" s="9" t="str">
        <f t="shared" ca="1" si="15"/>
        <v/>
      </c>
      <c r="C203" t="str">
        <f t="shared" si="16"/>
        <v/>
      </c>
      <c r="T203" s="9">
        <f t="shared" si="17"/>
        <v>0</v>
      </c>
      <c r="Z203" s="9">
        <f t="shared" si="18"/>
        <v>0</v>
      </c>
      <c r="AD203" s="9">
        <f t="shared" si="19"/>
        <v>0</v>
      </c>
    </row>
    <row r="204" spans="1:30" x14ac:dyDescent="0.4">
      <c r="A204"/>
      <c r="B204" s="9" t="str">
        <f t="shared" ca="1" si="15"/>
        <v/>
      </c>
      <c r="C204" t="str">
        <f t="shared" si="16"/>
        <v/>
      </c>
      <c r="T204" s="9">
        <f t="shared" si="17"/>
        <v>0</v>
      </c>
      <c r="Z204" s="9">
        <f t="shared" si="18"/>
        <v>0</v>
      </c>
      <c r="AD204" s="9">
        <f t="shared" si="19"/>
        <v>0</v>
      </c>
    </row>
    <row r="205" spans="1:30" x14ac:dyDescent="0.4">
      <c r="A205"/>
      <c r="B205" s="9" t="str">
        <f t="shared" ca="1" si="15"/>
        <v/>
      </c>
      <c r="C205" t="str">
        <f t="shared" si="16"/>
        <v/>
      </c>
      <c r="T205" s="9">
        <f t="shared" si="17"/>
        <v>0</v>
      </c>
      <c r="Z205" s="9">
        <f t="shared" si="18"/>
        <v>0</v>
      </c>
      <c r="AD205" s="9">
        <f t="shared" si="19"/>
        <v>0</v>
      </c>
    </row>
    <row r="206" spans="1:30" x14ac:dyDescent="0.4">
      <c r="A206"/>
      <c r="B206" s="9" t="str">
        <f t="shared" ca="1" si="15"/>
        <v/>
      </c>
      <c r="C206" t="str">
        <f t="shared" si="16"/>
        <v/>
      </c>
      <c r="T206" s="9">
        <f t="shared" si="17"/>
        <v>0</v>
      </c>
      <c r="Z206" s="9">
        <f t="shared" si="18"/>
        <v>0</v>
      </c>
      <c r="AD206" s="9">
        <f t="shared" si="19"/>
        <v>0</v>
      </c>
    </row>
    <row r="207" spans="1:30" x14ac:dyDescent="0.4">
      <c r="A207"/>
      <c r="B207" s="9" t="str">
        <f t="shared" ca="1" si="15"/>
        <v/>
      </c>
      <c r="C207" t="str">
        <f t="shared" si="16"/>
        <v/>
      </c>
      <c r="T207" s="9">
        <f t="shared" si="17"/>
        <v>0</v>
      </c>
      <c r="Z207" s="9">
        <f t="shared" si="18"/>
        <v>0</v>
      </c>
      <c r="AD207" s="9">
        <f t="shared" si="19"/>
        <v>0</v>
      </c>
    </row>
    <row r="208" spans="1:30" x14ac:dyDescent="0.4">
      <c r="A208"/>
      <c r="B208" s="9" t="str">
        <f t="shared" ca="1" si="15"/>
        <v/>
      </c>
      <c r="C208" t="str">
        <f t="shared" si="16"/>
        <v/>
      </c>
      <c r="T208" s="9">
        <f t="shared" si="17"/>
        <v>0</v>
      </c>
      <c r="Z208" s="9">
        <f t="shared" si="18"/>
        <v>0</v>
      </c>
      <c r="AD208" s="9">
        <f t="shared" si="19"/>
        <v>0</v>
      </c>
    </row>
    <row r="209" spans="1:30" x14ac:dyDescent="0.4">
      <c r="A209"/>
      <c r="B209" s="9" t="str">
        <f t="shared" ca="1" si="15"/>
        <v/>
      </c>
      <c r="C209" t="str">
        <f t="shared" si="16"/>
        <v/>
      </c>
      <c r="T209" s="9">
        <f t="shared" si="17"/>
        <v>0</v>
      </c>
      <c r="Z209" s="9">
        <f t="shared" si="18"/>
        <v>0</v>
      </c>
      <c r="AD209" s="9">
        <f t="shared" si="19"/>
        <v>0</v>
      </c>
    </row>
    <row r="210" spans="1:30" x14ac:dyDescent="0.4">
      <c r="A210"/>
      <c r="B210" s="9" t="str">
        <f t="shared" ca="1" si="15"/>
        <v/>
      </c>
      <c r="C210" t="str">
        <f t="shared" si="16"/>
        <v/>
      </c>
      <c r="T210" s="9">
        <f t="shared" si="17"/>
        <v>0</v>
      </c>
      <c r="Z210" s="9">
        <f t="shared" si="18"/>
        <v>0</v>
      </c>
      <c r="AD210" s="9">
        <f t="shared" si="19"/>
        <v>0</v>
      </c>
    </row>
    <row r="211" spans="1:30" x14ac:dyDescent="0.4">
      <c r="A211"/>
      <c r="B211" s="9" t="str">
        <f t="shared" ca="1" si="15"/>
        <v/>
      </c>
      <c r="C211" t="str">
        <f t="shared" si="16"/>
        <v/>
      </c>
      <c r="T211" s="9">
        <f t="shared" si="17"/>
        <v>0</v>
      </c>
      <c r="Z211" s="9">
        <f t="shared" si="18"/>
        <v>0</v>
      </c>
      <c r="AD211" s="9">
        <f t="shared" si="19"/>
        <v>0</v>
      </c>
    </row>
    <row r="212" spans="1:30" x14ac:dyDescent="0.4">
      <c r="A212"/>
      <c r="B212" s="9" t="str">
        <f t="shared" ca="1" si="15"/>
        <v/>
      </c>
      <c r="C212" t="str">
        <f t="shared" si="16"/>
        <v/>
      </c>
      <c r="T212" s="9">
        <f t="shared" si="17"/>
        <v>0</v>
      </c>
      <c r="Z212" s="9">
        <f t="shared" si="18"/>
        <v>0</v>
      </c>
      <c r="AD212" s="9">
        <f t="shared" si="19"/>
        <v>0</v>
      </c>
    </row>
    <row r="213" spans="1:30" x14ac:dyDescent="0.4">
      <c r="A213"/>
      <c r="B213" s="9" t="str">
        <f t="shared" ca="1" si="15"/>
        <v/>
      </c>
      <c r="C213" t="str">
        <f t="shared" si="16"/>
        <v/>
      </c>
      <c r="T213" s="9">
        <f t="shared" si="17"/>
        <v>0</v>
      </c>
      <c r="Z213" s="9">
        <f t="shared" si="18"/>
        <v>0</v>
      </c>
      <c r="AD213" s="9">
        <f t="shared" si="19"/>
        <v>0</v>
      </c>
    </row>
    <row r="214" spans="1:30" x14ac:dyDescent="0.4">
      <c r="A214"/>
      <c r="B214" s="9" t="str">
        <f t="shared" ca="1" si="15"/>
        <v/>
      </c>
      <c r="C214" t="str">
        <f t="shared" si="16"/>
        <v/>
      </c>
      <c r="T214" s="9">
        <f t="shared" si="17"/>
        <v>0</v>
      </c>
      <c r="Z214" s="9">
        <f t="shared" si="18"/>
        <v>0</v>
      </c>
      <c r="AD214" s="9">
        <f t="shared" si="19"/>
        <v>0</v>
      </c>
    </row>
    <row r="215" spans="1:30" x14ac:dyDescent="0.4">
      <c r="A215"/>
      <c r="B215" s="9" t="str">
        <f t="shared" ca="1" si="15"/>
        <v/>
      </c>
      <c r="C215" t="str">
        <f t="shared" si="16"/>
        <v/>
      </c>
      <c r="T215" s="9">
        <f t="shared" si="17"/>
        <v>0</v>
      </c>
      <c r="Z215" s="9">
        <f t="shared" si="18"/>
        <v>0</v>
      </c>
      <c r="AD215" s="9">
        <f t="shared" si="19"/>
        <v>0</v>
      </c>
    </row>
    <row r="216" spans="1:30" x14ac:dyDescent="0.4">
      <c r="A216"/>
      <c r="B216" s="9" t="str">
        <f t="shared" ca="1" si="15"/>
        <v/>
      </c>
      <c r="C216" t="str">
        <f t="shared" si="16"/>
        <v/>
      </c>
      <c r="T216" s="9">
        <f t="shared" si="17"/>
        <v>0</v>
      </c>
      <c r="Z216" s="9">
        <f t="shared" si="18"/>
        <v>0</v>
      </c>
      <c r="AD216" s="9">
        <f t="shared" si="19"/>
        <v>0</v>
      </c>
    </row>
    <row r="217" spans="1:30" x14ac:dyDescent="0.4">
      <c r="A217"/>
      <c r="B217" s="9" t="str">
        <f t="shared" ca="1" si="15"/>
        <v/>
      </c>
      <c r="C217" t="str">
        <f t="shared" si="16"/>
        <v/>
      </c>
      <c r="T217" s="9">
        <f t="shared" si="17"/>
        <v>0</v>
      </c>
      <c r="Z217" s="9">
        <f t="shared" si="18"/>
        <v>0</v>
      </c>
      <c r="AD217" s="9">
        <f t="shared" si="19"/>
        <v>0</v>
      </c>
    </row>
    <row r="218" spans="1:30" x14ac:dyDescent="0.4">
      <c r="A218"/>
      <c r="B218" s="9" t="str">
        <f t="shared" ca="1" si="15"/>
        <v/>
      </c>
      <c r="C218" t="str">
        <f t="shared" si="16"/>
        <v/>
      </c>
      <c r="T218" s="9">
        <f t="shared" si="17"/>
        <v>0</v>
      </c>
      <c r="Z218" s="9">
        <f t="shared" si="18"/>
        <v>0</v>
      </c>
      <c r="AD218" s="9">
        <f t="shared" si="19"/>
        <v>0</v>
      </c>
    </row>
    <row r="219" spans="1:30" x14ac:dyDescent="0.4">
      <c r="A219"/>
      <c r="B219" s="9" t="str">
        <f t="shared" ca="1" si="15"/>
        <v/>
      </c>
      <c r="C219" t="str">
        <f t="shared" si="16"/>
        <v/>
      </c>
      <c r="T219" s="9">
        <f t="shared" si="17"/>
        <v>0</v>
      </c>
      <c r="Z219" s="9">
        <f t="shared" si="18"/>
        <v>0</v>
      </c>
      <c r="AD219" s="9">
        <f t="shared" si="19"/>
        <v>0</v>
      </c>
    </row>
    <row r="220" spans="1:30" x14ac:dyDescent="0.4">
      <c r="A220"/>
      <c r="B220" s="9" t="str">
        <f t="shared" ca="1" si="15"/>
        <v/>
      </c>
      <c r="C220" t="str">
        <f t="shared" si="16"/>
        <v/>
      </c>
      <c r="T220" s="9">
        <f t="shared" si="17"/>
        <v>0</v>
      </c>
      <c r="Z220" s="9">
        <f t="shared" si="18"/>
        <v>0</v>
      </c>
      <c r="AD220" s="9">
        <f t="shared" si="19"/>
        <v>0</v>
      </c>
    </row>
    <row r="221" spans="1:30" x14ac:dyDescent="0.4">
      <c r="A221"/>
      <c r="B221" s="9" t="str">
        <f t="shared" ca="1" si="15"/>
        <v/>
      </c>
      <c r="C221" t="str">
        <f t="shared" si="16"/>
        <v/>
      </c>
      <c r="T221" s="9">
        <f t="shared" si="17"/>
        <v>0</v>
      </c>
      <c r="Z221" s="9">
        <f t="shared" si="18"/>
        <v>0</v>
      </c>
      <c r="AD221" s="9">
        <f t="shared" si="19"/>
        <v>0</v>
      </c>
    </row>
    <row r="222" spans="1:30" x14ac:dyDescent="0.4">
      <c r="A222"/>
      <c r="B222" s="9" t="str">
        <f t="shared" ca="1" si="15"/>
        <v/>
      </c>
      <c r="C222" t="str">
        <f t="shared" si="16"/>
        <v/>
      </c>
      <c r="T222" s="9">
        <f t="shared" si="17"/>
        <v>0</v>
      </c>
      <c r="Z222" s="9">
        <f t="shared" si="18"/>
        <v>0</v>
      </c>
      <c r="AD222" s="9">
        <f t="shared" si="19"/>
        <v>0</v>
      </c>
    </row>
    <row r="223" spans="1:30" x14ac:dyDescent="0.4">
      <c r="A223"/>
      <c r="B223" s="9" t="str">
        <f t="shared" ca="1" si="15"/>
        <v/>
      </c>
      <c r="C223" t="str">
        <f t="shared" si="16"/>
        <v/>
      </c>
      <c r="T223" s="9">
        <f t="shared" si="17"/>
        <v>0</v>
      </c>
      <c r="Z223" s="9">
        <f t="shared" si="18"/>
        <v>0</v>
      </c>
      <c r="AD223" s="9">
        <f t="shared" si="19"/>
        <v>0</v>
      </c>
    </row>
    <row r="224" spans="1:30" x14ac:dyDescent="0.4">
      <c r="A224"/>
      <c r="B224" s="9" t="str">
        <f t="shared" ca="1" si="15"/>
        <v/>
      </c>
      <c r="C224" t="str">
        <f t="shared" si="16"/>
        <v/>
      </c>
      <c r="T224" s="9">
        <f t="shared" si="17"/>
        <v>0</v>
      </c>
      <c r="Z224" s="9">
        <f t="shared" si="18"/>
        <v>0</v>
      </c>
      <c r="AD224" s="9">
        <f t="shared" si="19"/>
        <v>0</v>
      </c>
    </row>
    <row r="225" spans="1:30" x14ac:dyDescent="0.4">
      <c r="A225"/>
      <c r="B225" s="9" t="str">
        <f t="shared" ca="1" si="15"/>
        <v/>
      </c>
      <c r="C225" t="str">
        <f t="shared" si="16"/>
        <v/>
      </c>
      <c r="T225" s="9">
        <f t="shared" si="17"/>
        <v>0</v>
      </c>
      <c r="Z225" s="9">
        <f t="shared" si="18"/>
        <v>0</v>
      </c>
      <c r="AD225" s="9">
        <f t="shared" si="19"/>
        <v>0</v>
      </c>
    </row>
    <row r="226" spans="1:30" x14ac:dyDescent="0.4">
      <c r="A226"/>
      <c r="B226" s="9" t="str">
        <f t="shared" ca="1" si="15"/>
        <v/>
      </c>
      <c r="C226" t="str">
        <f t="shared" si="16"/>
        <v/>
      </c>
      <c r="T226" s="9">
        <f t="shared" si="17"/>
        <v>0</v>
      </c>
      <c r="Z226" s="9">
        <f t="shared" si="18"/>
        <v>0</v>
      </c>
      <c r="AD226" s="9">
        <f t="shared" si="19"/>
        <v>0</v>
      </c>
    </row>
    <row r="227" spans="1:30" x14ac:dyDescent="0.4">
      <c r="A227"/>
      <c r="B227" s="9" t="str">
        <f t="shared" ca="1" si="15"/>
        <v/>
      </c>
      <c r="C227" t="str">
        <f t="shared" si="16"/>
        <v/>
      </c>
      <c r="T227" s="9">
        <f t="shared" si="17"/>
        <v>0</v>
      </c>
      <c r="Z227" s="9">
        <f t="shared" si="18"/>
        <v>0</v>
      </c>
      <c r="AD227" s="9">
        <f t="shared" si="19"/>
        <v>0</v>
      </c>
    </row>
    <row r="228" spans="1:30" x14ac:dyDescent="0.4">
      <c r="A228"/>
      <c r="B228" s="9" t="str">
        <f t="shared" ca="1" si="15"/>
        <v/>
      </c>
      <c r="C228" t="str">
        <f t="shared" si="16"/>
        <v/>
      </c>
      <c r="T228" s="9">
        <f t="shared" si="17"/>
        <v>0</v>
      </c>
      <c r="Z228" s="9">
        <f t="shared" si="18"/>
        <v>0</v>
      </c>
      <c r="AD228" s="9">
        <f t="shared" si="19"/>
        <v>0</v>
      </c>
    </row>
    <row r="229" spans="1:30" x14ac:dyDescent="0.4">
      <c r="A229"/>
      <c r="B229" s="9" t="str">
        <f t="shared" ca="1" si="15"/>
        <v/>
      </c>
      <c r="C229" t="str">
        <f t="shared" si="16"/>
        <v/>
      </c>
      <c r="T229" s="9">
        <f t="shared" si="17"/>
        <v>0</v>
      </c>
      <c r="Z229" s="9">
        <f t="shared" si="18"/>
        <v>0</v>
      </c>
      <c r="AD229" s="9">
        <f t="shared" si="19"/>
        <v>0</v>
      </c>
    </row>
    <row r="230" spans="1:30" x14ac:dyDescent="0.4">
      <c r="A230"/>
      <c r="B230" s="9" t="str">
        <f t="shared" ca="1" si="15"/>
        <v/>
      </c>
      <c r="C230" t="str">
        <f t="shared" si="16"/>
        <v/>
      </c>
      <c r="T230" s="9">
        <f t="shared" si="17"/>
        <v>0</v>
      </c>
      <c r="Z230" s="9">
        <f t="shared" si="18"/>
        <v>0</v>
      </c>
      <c r="AD230" s="9">
        <f t="shared" si="19"/>
        <v>0</v>
      </c>
    </row>
    <row r="231" spans="1:30" x14ac:dyDescent="0.4">
      <c r="A231"/>
      <c r="B231" s="9" t="str">
        <f t="shared" ca="1" si="15"/>
        <v/>
      </c>
      <c r="C231" t="str">
        <f t="shared" si="16"/>
        <v/>
      </c>
      <c r="T231" s="9">
        <f t="shared" si="17"/>
        <v>0</v>
      </c>
      <c r="Z231" s="9">
        <f t="shared" si="18"/>
        <v>0</v>
      </c>
      <c r="AD231" s="9">
        <f t="shared" si="19"/>
        <v>0</v>
      </c>
    </row>
    <row r="232" spans="1:30" x14ac:dyDescent="0.4">
      <c r="A232"/>
      <c r="B232" s="9" t="str">
        <f t="shared" ca="1" si="15"/>
        <v/>
      </c>
      <c r="C232" t="str">
        <f t="shared" si="16"/>
        <v/>
      </c>
      <c r="T232" s="9">
        <f t="shared" si="17"/>
        <v>0</v>
      </c>
      <c r="Z232" s="9">
        <f t="shared" si="18"/>
        <v>0</v>
      </c>
      <c r="AD232" s="9">
        <f t="shared" si="19"/>
        <v>0</v>
      </c>
    </row>
    <row r="233" spans="1:30" x14ac:dyDescent="0.4">
      <c r="A233"/>
      <c r="B233" s="9" t="str">
        <f t="shared" ca="1" si="15"/>
        <v/>
      </c>
      <c r="C233" t="str">
        <f t="shared" si="16"/>
        <v/>
      </c>
      <c r="T233" s="9">
        <f t="shared" si="17"/>
        <v>0</v>
      </c>
      <c r="Z233" s="9">
        <f t="shared" si="18"/>
        <v>0</v>
      </c>
      <c r="AD233" s="9">
        <f t="shared" si="19"/>
        <v>0</v>
      </c>
    </row>
    <row r="234" spans="1:30" x14ac:dyDescent="0.4">
      <c r="A234"/>
      <c r="B234" s="9" t="str">
        <f t="shared" ca="1" si="15"/>
        <v/>
      </c>
      <c r="C234" t="str">
        <f t="shared" si="16"/>
        <v/>
      </c>
      <c r="T234" s="9">
        <f t="shared" si="17"/>
        <v>0</v>
      </c>
      <c r="Z234" s="9">
        <f t="shared" si="18"/>
        <v>0</v>
      </c>
      <c r="AD234" s="9">
        <f t="shared" si="19"/>
        <v>0</v>
      </c>
    </row>
    <row r="235" spans="1:30" x14ac:dyDescent="0.4">
      <c r="A235"/>
      <c r="B235" s="9" t="str">
        <f t="shared" ca="1" si="15"/>
        <v/>
      </c>
      <c r="C235" t="str">
        <f t="shared" si="16"/>
        <v/>
      </c>
      <c r="T235" s="9">
        <f t="shared" si="17"/>
        <v>0</v>
      </c>
      <c r="Z235" s="9">
        <f t="shared" si="18"/>
        <v>0</v>
      </c>
      <c r="AD235" s="9">
        <f t="shared" si="19"/>
        <v>0</v>
      </c>
    </row>
    <row r="236" spans="1:30" x14ac:dyDescent="0.4">
      <c r="A236"/>
      <c r="B236" s="9" t="str">
        <f t="shared" ca="1" si="15"/>
        <v/>
      </c>
      <c r="C236" t="str">
        <f t="shared" si="16"/>
        <v/>
      </c>
      <c r="T236" s="9">
        <f t="shared" si="17"/>
        <v>0</v>
      </c>
      <c r="Z236" s="9">
        <f t="shared" si="18"/>
        <v>0</v>
      </c>
      <c r="AD236" s="9">
        <f t="shared" si="19"/>
        <v>0</v>
      </c>
    </row>
    <row r="237" spans="1:30" x14ac:dyDescent="0.4">
      <c r="A237"/>
      <c r="B237" s="9" t="str">
        <f t="shared" ca="1" si="15"/>
        <v/>
      </c>
      <c r="C237" t="str">
        <f t="shared" si="16"/>
        <v/>
      </c>
      <c r="T237" s="9">
        <f t="shared" si="17"/>
        <v>0</v>
      </c>
      <c r="Z237" s="9">
        <f t="shared" si="18"/>
        <v>0</v>
      </c>
      <c r="AD237" s="9">
        <f t="shared" si="19"/>
        <v>0</v>
      </c>
    </row>
    <row r="238" spans="1:30" x14ac:dyDescent="0.4">
      <c r="A238"/>
      <c r="B238" s="9" t="str">
        <f t="shared" ca="1" si="15"/>
        <v/>
      </c>
      <c r="C238" t="str">
        <f t="shared" si="16"/>
        <v/>
      </c>
      <c r="T238" s="9">
        <f t="shared" si="17"/>
        <v>0</v>
      </c>
      <c r="Z238" s="9">
        <f t="shared" si="18"/>
        <v>0</v>
      </c>
      <c r="AD238" s="9">
        <f t="shared" si="19"/>
        <v>0</v>
      </c>
    </row>
    <row r="239" spans="1:30" x14ac:dyDescent="0.4">
      <c r="A239"/>
      <c r="B239" s="9" t="str">
        <f t="shared" ca="1" si="15"/>
        <v/>
      </c>
      <c r="C239" t="str">
        <f t="shared" si="16"/>
        <v/>
      </c>
      <c r="T239" s="9">
        <f t="shared" si="17"/>
        <v>0</v>
      </c>
      <c r="Z239" s="9">
        <f t="shared" si="18"/>
        <v>0</v>
      </c>
      <c r="AD239" s="9">
        <f t="shared" si="19"/>
        <v>0</v>
      </c>
    </row>
    <row r="240" spans="1:30" x14ac:dyDescent="0.4">
      <c r="A240"/>
      <c r="B240" s="9" t="str">
        <f t="shared" ca="1" si="15"/>
        <v/>
      </c>
      <c r="C240" t="str">
        <f t="shared" si="16"/>
        <v/>
      </c>
      <c r="T240" s="9">
        <f t="shared" si="17"/>
        <v>0</v>
      </c>
      <c r="Z240" s="9">
        <f t="shared" si="18"/>
        <v>0</v>
      </c>
      <c r="AD240" s="9">
        <f t="shared" si="19"/>
        <v>0</v>
      </c>
    </row>
    <row r="241" spans="1:30" x14ac:dyDescent="0.4">
      <c r="A241"/>
      <c r="B241" s="9" t="str">
        <f t="shared" ca="1" si="15"/>
        <v/>
      </c>
      <c r="C241" t="str">
        <f t="shared" si="16"/>
        <v/>
      </c>
      <c r="T241" s="9">
        <f t="shared" si="17"/>
        <v>0</v>
      </c>
      <c r="Z241" s="9">
        <f t="shared" si="18"/>
        <v>0</v>
      </c>
      <c r="AD241" s="9">
        <f t="shared" si="19"/>
        <v>0</v>
      </c>
    </row>
    <row r="242" spans="1:30" x14ac:dyDescent="0.4">
      <c r="A242"/>
      <c r="B242" s="9" t="str">
        <f t="shared" ca="1" si="15"/>
        <v/>
      </c>
      <c r="C242" t="str">
        <f t="shared" si="16"/>
        <v/>
      </c>
      <c r="T242" s="9">
        <f t="shared" si="17"/>
        <v>0</v>
      </c>
      <c r="Z242" s="9">
        <f t="shared" si="18"/>
        <v>0</v>
      </c>
      <c r="AD242" s="9">
        <f t="shared" si="19"/>
        <v>0</v>
      </c>
    </row>
    <row r="243" spans="1:30" x14ac:dyDescent="0.4">
      <c r="A243"/>
      <c r="B243" s="9" t="str">
        <f t="shared" ca="1" si="15"/>
        <v/>
      </c>
      <c r="C243" t="str">
        <f t="shared" si="16"/>
        <v/>
      </c>
      <c r="T243" s="9">
        <f t="shared" si="17"/>
        <v>0</v>
      </c>
      <c r="Z243" s="9">
        <f t="shared" si="18"/>
        <v>0</v>
      </c>
      <c r="AD243" s="9">
        <f t="shared" si="19"/>
        <v>0</v>
      </c>
    </row>
    <row r="244" spans="1:30" x14ac:dyDescent="0.4">
      <c r="A244"/>
      <c r="B244" s="9" t="str">
        <f t="shared" ca="1" si="15"/>
        <v/>
      </c>
      <c r="C244" t="str">
        <f t="shared" si="16"/>
        <v/>
      </c>
      <c r="T244" s="9">
        <f t="shared" si="17"/>
        <v>0</v>
      </c>
      <c r="Z244" s="9">
        <f t="shared" si="18"/>
        <v>0</v>
      </c>
      <c r="AD244" s="9">
        <f t="shared" si="19"/>
        <v>0</v>
      </c>
    </row>
    <row r="245" spans="1:30" x14ac:dyDescent="0.4">
      <c r="A245"/>
      <c r="B245" s="9" t="str">
        <f t="shared" ca="1" si="15"/>
        <v/>
      </c>
      <c r="C245" t="str">
        <f t="shared" si="16"/>
        <v/>
      </c>
      <c r="T245" s="9">
        <f t="shared" si="17"/>
        <v>0</v>
      </c>
      <c r="Z245" s="9">
        <f t="shared" si="18"/>
        <v>0</v>
      </c>
      <c r="AD245" s="9">
        <f t="shared" si="19"/>
        <v>0</v>
      </c>
    </row>
    <row r="246" spans="1:30" x14ac:dyDescent="0.4">
      <c r="A246"/>
      <c r="B246" s="9" t="str">
        <f t="shared" ca="1" si="15"/>
        <v/>
      </c>
      <c r="C246" t="str">
        <f t="shared" si="16"/>
        <v/>
      </c>
      <c r="T246" s="9">
        <f t="shared" si="17"/>
        <v>0</v>
      </c>
      <c r="Z246" s="9">
        <f t="shared" si="18"/>
        <v>0</v>
      </c>
      <c r="AD246" s="9">
        <f t="shared" si="19"/>
        <v>0</v>
      </c>
    </row>
    <row r="247" spans="1:30" x14ac:dyDescent="0.4">
      <c r="A247"/>
      <c r="B247" s="9" t="str">
        <f t="shared" ca="1" si="15"/>
        <v/>
      </c>
      <c r="C247" t="str">
        <f t="shared" si="16"/>
        <v/>
      </c>
      <c r="T247" s="9">
        <f t="shared" si="17"/>
        <v>0</v>
      </c>
      <c r="Z247" s="9">
        <f t="shared" si="18"/>
        <v>0</v>
      </c>
      <c r="AD247" s="9">
        <f t="shared" si="19"/>
        <v>0</v>
      </c>
    </row>
    <row r="248" spans="1:30" x14ac:dyDescent="0.4">
      <c r="A248"/>
      <c r="B248" s="9" t="str">
        <f t="shared" ca="1" si="15"/>
        <v/>
      </c>
      <c r="C248" t="str">
        <f t="shared" si="16"/>
        <v/>
      </c>
      <c r="T248" s="9">
        <f t="shared" si="17"/>
        <v>0</v>
      </c>
      <c r="Z248" s="9">
        <f t="shared" si="18"/>
        <v>0</v>
      </c>
      <c r="AD248" s="9">
        <f t="shared" si="19"/>
        <v>0</v>
      </c>
    </row>
    <row r="249" spans="1:30" x14ac:dyDescent="0.4">
      <c r="A249"/>
      <c r="B249" s="9" t="str">
        <f t="shared" ca="1" si="15"/>
        <v/>
      </c>
      <c r="C249" t="str">
        <f t="shared" si="16"/>
        <v/>
      </c>
      <c r="T249" s="9">
        <f t="shared" si="17"/>
        <v>0</v>
      </c>
      <c r="Z249" s="9">
        <f t="shared" si="18"/>
        <v>0</v>
      </c>
      <c r="AD249" s="9">
        <f t="shared" si="19"/>
        <v>0</v>
      </c>
    </row>
    <row r="250" spans="1:30" x14ac:dyDescent="0.4">
      <c r="A250"/>
      <c r="B250" s="9" t="str">
        <f t="shared" ca="1" si="15"/>
        <v/>
      </c>
      <c r="C250" t="str">
        <f t="shared" si="16"/>
        <v/>
      </c>
      <c r="T250" s="9">
        <f t="shared" si="17"/>
        <v>0</v>
      </c>
      <c r="Z250" s="9">
        <f t="shared" si="18"/>
        <v>0</v>
      </c>
      <c r="AD250" s="9">
        <f t="shared" si="19"/>
        <v>0</v>
      </c>
    </row>
    <row r="251" spans="1:30" x14ac:dyDescent="0.4">
      <c r="A251"/>
      <c r="B251" s="9" t="str">
        <f t="shared" ca="1" si="15"/>
        <v/>
      </c>
      <c r="C251" t="str">
        <f t="shared" si="16"/>
        <v/>
      </c>
      <c r="T251" s="9">
        <f t="shared" si="17"/>
        <v>0</v>
      </c>
      <c r="Z251" s="9">
        <f t="shared" si="18"/>
        <v>0</v>
      </c>
      <c r="AD251" s="9">
        <f t="shared" si="19"/>
        <v>0</v>
      </c>
    </row>
    <row r="252" spans="1:30" x14ac:dyDescent="0.4">
      <c r="A252"/>
      <c r="B252" s="9" t="str">
        <f t="shared" ca="1" si="15"/>
        <v/>
      </c>
      <c r="C252" t="str">
        <f t="shared" si="16"/>
        <v/>
      </c>
      <c r="T252" s="9">
        <f t="shared" si="17"/>
        <v>0</v>
      </c>
      <c r="Z252" s="9">
        <f t="shared" si="18"/>
        <v>0</v>
      </c>
      <c r="AD252" s="9">
        <f t="shared" si="19"/>
        <v>0</v>
      </c>
    </row>
    <row r="253" spans="1:30" x14ac:dyDescent="0.4">
      <c r="A253"/>
      <c r="B253" s="9" t="str">
        <f t="shared" ca="1" si="15"/>
        <v/>
      </c>
      <c r="C253" t="str">
        <f t="shared" si="16"/>
        <v/>
      </c>
      <c r="T253" s="9">
        <f t="shared" si="17"/>
        <v>0</v>
      </c>
      <c r="Z253" s="9">
        <f t="shared" si="18"/>
        <v>0</v>
      </c>
      <c r="AD253" s="9">
        <f t="shared" si="19"/>
        <v>0</v>
      </c>
    </row>
    <row r="254" spans="1:30" x14ac:dyDescent="0.4">
      <c r="A254"/>
      <c r="B254" s="9" t="str">
        <f t="shared" ca="1" si="15"/>
        <v/>
      </c>
      <c r="C254" t="str">
        <f t="shared" si="16"/>
        <v/>
      </c>
      <c r="T254" s="9">
        <f t="shared" si="17"/>
        <v>0</v>
      </c>
      <c r="Z254" s="9">
        <f t="shared" si="18"/>
        <v>0</v>
      </c>
      <c r="AD254" s="9">
        <f t="shared" si="19"/>
        <v>0</v>
      </c>
    </row>
    <row r="255" spans="1:30" x14ac:dyDescent="0.4">
      <c r="A255"/>
      <c r="B255" s="9" t="str">
        <f t="shared" ca="1" si="15"/>
        <v/>
      </c>
      <c r="C255" t="str">
        <f t="shared" si="16"/>
        <v/>
      </c>
      <c r="T255" s="9">
        <f t="shared" si="17"/>
        <v>0</v>
      </c>
      <c r="Z255" s="9">
        <f t="shared" si="18"/>
        <v>0</v>
      </c>
      <c r="AD255" s="9">
        <f t="shared" si="19"/>
        <v>0</v>
      </c>
    </row>
    <row r="256" spans="1:30" x14ac:dyDescent="0.4">
      <c r="A256"/>
      <c r="B256" s="9" t="str">
        <f t="shared" ca="1" si="15"/>
        <v/>
      </c>
      <c r="C256" t="str">
        <f t="shared" si="16"/>
        <v/>
      </c>
      <c r="T256" s="9">
        <f t="shared" si="17"/>
        <v>0</v>
      </c>
      <c r="Z256" s="9">
        <f t="shared" si="18"/>
        <v>0</v>
      </c>
      <c r="AD256" s="9">
        <f t="shared" si="19"/>
        <v>0</v>
      </c>
    </row>
    <row r="257" spans="1:30" x14ac:dyDescent="0.4">
      <c r="A257"/>
      <c r="B257" s="9" t="str">
        <f t="shared" ca="1" si="15"/>
        <v/>
      </c>
      <c r="C257" t="str">
        <f t="shared" si="16"/>
        <v/>
      </c>
      <c r="T257" s="9">
        <f t="shared" si="17"/>
        <v>0</v>
      </c>
      <c r="Z257" s="9">
        <f t="shared" si="18"/>
        <v>0</v>
      </c>
      <c r="AD257" s="9">
        <f t="shared" si="19"/>
        <v>0</v>
      </c>
    </row>
    <row r="258" spans="1:30" x14ac:dyDescent="0.4">
      <c r="A258"/>
      <c r="B258" s="9" t="str">
        <f t="shared" ca="1" si="15"/>
        <v/>
      </c>
      <c r="C258" t="str">
        <f t="shared" si="16"/>
        <v/>
      </c>
      <c r="T258" s="9">
        <f t="shared" si="17"/>
        <v>0</v>
      </c>
      <c r="Z258" s="9">
        <f t="shared" si="18"/>
        <v>0</v>
      </c>
      <c r="AD258" s="9">
        <f t="shared" si="19"/>
        <v>0</v>
      </c>
    </row>
    <row r="259" spans="1:30" x14ac:dyDescent="0.4">
      <c r="A259"/>
      <c r="B259" s="9" t="str">
        <f t="shared" ref="B259:B322" ca="1" si="20">TEXT(IFERROR(LOOKUP(10^8,MID(A259,ROW(INDIRECT("1:"&amp;LEN(A259)-11)),8)+0),IF(A259="","",TRIM(RIGHT(SUBSTITUTE(LEFT(A259,LEN(A259)-4),"\",REPT(" ",50)),50)))),"00000000")</f>
        <v/>
      </c>
      <c r="C259" t="str">
        <f t="shared" ref="C259:C322" si="21">IF(A259="","",$J$1&amp;"\"&amp;A259)</f>
        <v/>
      </c>
      <c r="T259" s="9">
        <f t="shared" si="17"/>
        <v>0</v>
      </c>
      <c r="Z259" s="9">
        <f t="shared" si="18"/>
        <v>0</v>
      </c>
      <c r="AD259" s="9">
        <f t="shared" si="19"/>
        <v>0</v>
      </c>
    </row>
    <row r="260" spans="1:30" x14ac:dyDescent="0.4">
      <c r="A260"/>
      <c r="B260" s="9" t="str">
        <f t="shared" ca="1" si="20"/>
        <v/>
      </c>
      <c r="C260" t="str">
        <f t="shared" si="21"/>
        <v/>
      </c>
      <c r="T260" s="9">
        <f t="shared" si="17"/>
        <v>0</v>
      </c>
      <c r="Z260" s="9">
        <f t="shared" si="18"/>
        <v>0</v>
      </c>
      <c r="AD260" s="9">
        <f t="shared" si="19"/>
        <v>0</v>
      </c>
    </row>
    <row r="261" spans="1:30" x14ac:dyDescent="0.4">
      <c r="A261"/>
      <c r="B261" s="9" t="str">
        <f t="shared" ca="1" si="20"/>
        <v/>
      </c>
      <c r="C261" t="str">
        <f t="shared" si="21"/>
        <v/>
      </c>
      <c r="T261" s="9">
        <f t="shared" si="17"/>
        <v>0</v>
      </c>
      <c r="Z261" s="9">
        <f t="shared" si="18"/>
        <v>0</v>
      </c>
      <c r="AD261" s="9">
        <f t="shared" si="19"/>
        <v>0</v>
      </c>
    </row>
    <row r="262" spans="1:30" x14ac:dyDescent="0.4">
      <c r="A262"/>
      <c r="B262" s="9" t="str">
        <f t="shared" ca="1" si="20"/>
        <v/>
      </c>
      <c r="C262" t="str">
        <f t="shared" si="21"/>
        <v/>
      </c>
      <c r="T262" s="9">
        <f t="shared" si="17"/>
        <v>0</v>
      </c>
      <c r="Z262" s="9">
        <f t="shared" si="18"/>
        <v>0</v>
      </c>
      <c r="AD262" s="9">
        <f t="shared" si="19"/>
        <v>0</v>
      </c>
    </row>
    <row r="263" spans="1:30" x14ac:dyDescent="0.4">
      <c r="A263"/>
      <c r="B263" s="9" t="str">
        <f t="shared" ca="1" si="20"/>
        <v/>
      </c>
      <c r="C263" t="str">
        <f t="shared" si="21"/>
        <v/>
      </c>
      <c r="T263" s="9">
        <f t="shared" si="17"/>
        <v>0</v>
      </c>
      <c r="Z263" s="9">
        <f t="shared" si="18"/>
        <v>0</v>
      </c>
      <c r="AD263" s="9">
        <f t="shared" si="19"/>
        <v>0</v>
      </c>
    </row>
    <row r="264" spans="1:30" x14ac:dyDescent="0.4">
      <c r="A264"/>
      <c r="B264" s="9" t="str">
        <f t="shared" ca="1" si="20"/>
        <v/>
      </c>
      <c r="C264" t="str">
        <f t="shared" si="21"/>
        <v/>
      </c>
      <c r="T264" s="9">
        <f t="shared" ref="T264:T327" si="22">(COUNTIFS(TH_TK,N264,TH_DuNo,O264,TH_DuNoNT,P264,TH_DuCo,Q264,TH_DuCoNT,R264,TH_SoLuong,S264)&gt;0)*1</f>
        <v>0</v>
      </c>
      <c r="Z264" s="9">
        <f t="shared" ref="Z264:Z327" si="23">(COUNTIFS(NV,U264,TK,V264,TongNo,W264,TongCo,X264,SoLuong,Y264)&gt;0)*1</f>
        <v>0</v>
      </c>
      <c r="AD264" s="9">
        <f t="shared" ref="AD264:AD327" si="24">COUNTIFS(ReportType,AA264,ItemCode,AB264,Amount,AC264)</f>
        <v>0</v>
      </c>
    </row>
    <row r="265" spans="1:30" x14ac:dyDescent="0.4">
      <c r="A265"/>
      <c r="B265" s="9" t="str">
        <f t="shared" ca="1" si="20"/>
        <v/>
      </c>
      <c r="C265" t="str">
        <f t="shared" si="21"/>
        <v/>
      </c>
      <c r="T265" s="9">
        <f t="shared" si="22"/>
        <v>0</v>
      </c>
      <c r="Z265" s="9">
        <f t="shared" si="23"/>
        <v>0</v>
      </c>
      <c r="AD265" s="9">
        <f t="shared" si="24"/>
        <v>0</v>
      </c>
    </row>
    <row r="266" spans="1:30" x14ac:dyDescent="0.4">
      <c r="A266"/>
      <c r="B266" s="9" t="str">
        <f t="shared" ca="1" si="20"/>
        <v/>
      </c>
      <c r="C266" t="str">
        <f t="shared" si="21"/>
        <v/>
      </c>
      <c r="T266" s="9">
        <f t="shared" si="22"/>
        <v>0</v>
      </c>
      <c r="Z266" s="9">
        <f t="shared" si="23"/>
        <v>0</v>
      </c>
      <c r="AD266" s="9">
        <f t="shared" si="24"/>
        <v>0</v>
      </c>
    </row>
    <row r="267" spans="1:30" x14ac:dyDescent="0.4">
      <c r="A267"/>
      <c r="B267" s="9" t="str">
        <f t="shared" ca="1" si="20"/>
        <v/>
      </c>
      <c r="C267" t="str">
        <f t="shared" si="21"/>
        <v/>
      </c>
      <c r="T267" s="9">
        <f t="shared" si="22"/>
        <v>0</v>
      </c>
      <c r="Z267" s="9">
        <f t="shared" si="23"/>
        <v>0</v>
      </c>
      <c r="AD267" s="9">
        <f t="shared" si="24"/>
        <v>0</v>
      </c>
    </row>
    <row r="268" spans="1:30" x14ac:dyDescent="0.4">
      <c r="A268"/>
      <c r="B268" s="9" t="str">
        <f t="shared" ca="1" si="20"/>
        <v/>
      </c>
      <c r="C268" t="str">
        <f t="shared" si="21"/>
        <v/>
      </c>
      <c r="T268" s="9">
        <f t="shared" si="22"/>
        <v>0</v>
      </c>
      <c r="Z268" s="9">
        <f t="shared" si="23"/>
        <v>0</v>
      </c>
      <c r="AD268" s="9">
        <f t="shared" si="24"/>
        <v>0</v>
      </c>
    </row>
    <row r="269" spans="1:30" x14ac:dyDescent="0.4">
      <c r="A269"/>
      <c r="B269" s="9" t="str">
        <f t="shared" ca="1" si="20"/>
        <v/>
      </c>
      <c r="C269" t="str">
        <f t="shared" si="21"/>
        <v/>
      </c>
      <c r="T269" s="9">
        <f t="shared" si="22"/>
        <v>0</v>
      </c>
      <c r="Z269" s="9">
        <f t="shared" si="23"/>
        <v>0</v>
      </c>
      <c r="AD269" s="9">
        <f t="shared" si="24"/>
        <v>0</v>
      </c>
    </row>
    <row r="270" spans="1:30" x14ac:dyDescent="0.4">
      <c r="A270"/>
      <c r="B270" s="9" t="str">
        <f t="shared" ca="1" si="20"/>
        <v/>
      </c>
      <c r="C270" t="str">
        <f t="shared" si="21"/>
        <v/>
      </c>
      <c r="T270" s="9">
        <f t="shared" si="22"/>
        <v>0</v>
      </c>
      <c r="Z270" s="9">
        <f t="shared" si="23"/>
        <v>0</v>
      </c>
      <c r="AD270" s="9">
        <f t="shared" si="24"/>
        <v>0</v>
      </c>
    </row>
    <row r="271" spans="1:30" x14ac:dyDescent="0.4">
      <c r="A271"/>
      <c r="B271" s="9" t="str">
        <f t="shared" ca="1" si="20"/>
        <v/>
      </c>
      <c r="C271" t="str">
        <f t="shared" si="21"/>
        <v/>
      </c>
      <c r="T271" s="9">
        <f t="shared" si="22"/>
        <v>0</v>
      </c>
      <c r="Z271" s="9">
        <f t="shared" si="23"/>
        <v>0</v>
      </c>
      <c r="AD271" s="9">
        <f t="shared" si="24"/>
        <v>0</v>
      </c>
    </row>
    <row r="272" spans="1:30" x14ac:dyDescent="0.4">
      <c r="A272"/>
      <c r="B272" s="9" t="str">
        <f t="shared" ca="1" si="20"/>
        <v/>
      </c>
      <c r="C272" t="str">
        <f t="shared" si="21"/>
        <v/>
      </c>
      <c r="T272" s="9">
        <f t="shared" si="22"/>
        <v>0</v>
      </c>
      <c r="Z272" s="9">
        <f t="shared" si="23"/>
        <v>0</v>
      </c>
      <c r="AD272" s="9">
        <f t="shared" si="24"/>
        <v>0</v>
      </c>
    </row>
    <row r="273" spans="1:30" x14ac:dyDescent="0.4">
      <c r="A273"/>
      <c r="B273" s="9" t="str">
        <f t="shared" ca="1" si="20"/>
        <v/>
      </c>
      <c r="C273" t="str">
        <f t="shared" si="21"/>
        <v/>
      </c>
      <c r="T273" s="9">
        <f t="shared" si="22"/>
        <v>0</v>
      </c>
      <c r="Z273" s="9">
        <f t="shared" si="23"/>
        <v>0</v>
      </c>
      <c r="AD273" s="9">
        <f t="shared" si="24"/>
        <v>0</v>
      </c>
    </row>
    <row r="274" spans="1:30" x14ac:dyDescent="0.4">
      <c r="A274"/>
      <c r="B274" s="9" t="str">
        <f t="shared" ca="1" si="20"/>
        <v/>
      </c>
      <c r="C274" t="str">
        <f t="shared" si="21"/>
        <v/>
      </c>
      <c r="T274" s="9">
        <f t="shared" si="22"/>
        <v>0</v>
      </c>
      <c r="Z274" s="9">
        <f t="shared" si="23"/>
        <v>0</v>
      </c>
      <c r="AD274" s="9">
        <f t="shared" si="24"/>
        <v>0</v>
      </c>
    </row>
    <row r="275" spans="1:30" x14ac:dyDescent="0.4">
      <c r="A275"/>
      <c r="B275" s="9" t="str">
        <f t="shared" ca="1" si="20"/>
        <v/>
      </c>
      <c r="C275" t="str">
        <f t="shared" si="21"/>
        <v/>
      </c>
      <c r="T275" s="9">
        <f t="shared" si="22"/>
        <v>0</v>
      </c>
      <c r="Z275" s="9">
        <f t="shared" si="23"/>
        <v>0</v>
      </c>
      <c r="AD275" s="9">
        <f t="shared" si="24"/>
        <v>0</v>
      </c>
    </row>
    <row r="276" spans="1:30" x14ac:dyDescent="0.4">
      <c r="A276"/>
      <c r="B276" s="9" t="str">
        <f t="shared" ca="1" si="20"/>
        <v/>
      </c>
      <c r="C276" t="str">
        <f t="shared" si="21"/>
        <v/>
      </c>
      <c r="T276" s="9">
        <f t="shared" si="22"/>
        <v>0</v>
      </c>
      <c r="Z276" s="9">
        <f t="shared" si="23"/>
        <v>0</v>
      </c>
      <c r="AD276" s="9">
        <f t="shared" si="24"/>
        <v>0</v>
      </c>
    </row>
    <row r="277" spans="1:30" x14ac:dyDescent="0.4">
      <c r="A277"/>
      <c r="B277" s="9" t="str">
        <f t="shared" ca="1" si="20"/>
        <v/>
      </c>
      <c r="C277" t="str">
        <f t="shared" si="21"/>
        <v/>
      </c>
      <c r="T277" s="9">
        <f t="shared" si="22"/>
        <v>0</v>
      </c>
      <c r="Z277" s="9">
        <f t="shared" si="23"/>
        <v>0</v>
      </c>
      <c r="AD277" s="9">
        <f t="shared" si="24"/>
        <v>0</v>
      </c>
    </row>
    <row r="278" spans="1:30" x14ac:dyDescent="0.4">
      <c r="A278"/>
      <c r="B278" s="9" t="str">
        <f t="shared" ca="1" si="20"/>
        <v/>
      </c>
      <c r="C278" t="str">
        <f t="shared" si="21"/>
        <v/>
      </c>
      <c r="T278" s="9">
        <f t="shared" si="22"/>
        <v>0</v>
      </c>
      <c r="Z278" s="9">
        <f t="shared" si="23"/>
        <v>0</v>
      </c>
      <c r="AD278" s="9">
        <f t="shared" si="24"/>
        <v>0</v>
      </c>
    </row>
    <row r="279" spans="1:30" x14ac:dyDescent="0.4">
      <c r="A279"/>
      <c r="B279" s="9" t="str">
        <f t="shared" ca="1" si="20"/>
        <v/>
      </c>
      <c r="C279" t="str">
        <f t="shared" si="21"/>
        <v/>
      </c>
      <c r="T279" s="9">
        <f t="shared" si="22"/>
        <v>0</v>
      </c>
      <c r="Z279" s="9">
        <f t="shared" si="23"/>
        <v>0</v>
      </c>
      <c r="AD279" s="9">
        <f t="shared" si="24"/>
        <v>0</v>
      </c>
    </row>
    <row r="280" spans="1:30" x14ac:dyDescent="0.4">
      <c r="A280"/>
      <c r="B280" s="9" t="str">
        <f t="shared" ca="1" si="20"/>
        <v/>
      </c>
      <c r="C280" t="str">
        <f t="shared" si="21"/>
        <v/>
      </c>
      <c r="T280" s="9">
        <f t="shared" si="22"/>
        <v>0</v>
      </c>
      <c r="Z280" s="9">
        <f t="shared" si="23"/>
        <v>0</v>
      </c>
      <c r="AD280" s="9">
        <f t="shared" si="24"/>
        <v>0</v>
      </c>
    </row>
    <row r="281" spans="1:30" x14ac:dyDescent="0.4">
      <c r="A281"/>
      <c r="B281" s="9" t="str">
        <f t="shared" ca="1" si="20"/>
        <v/>
      </c>
      <c r="C281" t="str">
        <f t="shared" si="21"/>
        <v/>
      </c>
      <c r="T281" s="9">
        <f t="shared" si="22"/>
        <v>0</v>
      </c>
      <c r="Z281" s="9">
        <f t="shared" si="23"/>
        <v>0</v>
      </c>
      <c r="AD281" s="9">
        <f t="shared" si="24"/>
        <v>0</v>
      </c>
    </row>
    <row r="282" spans="1:30" x14ac:dyDescent="0.4">
      <c r="A282"/>
      <c r="B282" s="9" t="str">
        <f t="shared" ca="1" si="20"/>
        <v/>
      </c>
      <c r="C282" t="str">
        <f t="shared" si="21"/>
        <v/>
      </c>
      <c r="T282" s="9">
        <f t="shared" si="22"/>
        <v>0</v>
      </c>
      <c r="Z282" s="9">
        <f t="shared" si="23"/>
        <v>0</v>
      </c>
      <c r="AD282" s="9">
        <f t="shared" si="24"/>
        <v>0</v>
      </c>
    </row>
    <row r="283" spans="1:30" x14ac:dyDescent="0.4">
      <c r="A283"/>
      <c r="B283" s="9" t="str">
        <f t="shared" ca="1" si="20"/>
        <v/>
      </c>
      <c r="C283" t="str">
        <f t="shared" si="21"/>
        <v/>
      </c>
      <c r="T283" s="9">
        <f t="shared" si="22"/>
        <v>0</v>
      </c>
      <c r="Z283" s="9">
        <f t="shared" si="23"/>
        <v>0</v>
      </c>
      <c r="AD283" s="9">
        <f t="shared" si="24"/>
        <v>0</v>
      </c>
    </row>
    <row r="284" spans="1:30" x14ac:dyDescent="0.4">
      <c r="A284"/>
      <c r="B284" s="9" t="str">
        <f t="shared" ca="1" si="20"/>
        <v/>
      </c>
      <c r="C284" t="str">
        <f t="shared" si="21"/>
        <v/>
      </c>
      <c r="T284" s="9">
        <f t="shared" si="22"/>
        <v>0</v>
      </c>
      <c r="Z284" s="9">
        <f t="shared" si="23"/>
        <v>0</v>
      </c>
      <c r="AD284" s="9">
        <f t="shared" si="24"/>
        <v>0</v>
      </c>
    </row>
    <row r="285" spans="1:30" x14ac:dyDescent="0.4">
      <c r="A285"/>
      <c r="B285" s="9" t="str">
        <f t="shared" ca="1" si="20"/>
        <v/>
      </c>
      <c r="C285" t="str">
        <f t="shared" si="21"/>
        <v/>
      </c>
      <c r="T285" s="9">
        <f t="shared" si="22"/>
        <v>0</v>
      </c>
      <c r="Z285" s="9">
        <f t="shared" si="23"/>
        <v>0</v>
      </c>
      <c r="AD285" s="9">
        <f t="shared" si="24"/>
        <v>0</v>
      </c>
    </row>
    <row r="286" spans="1:30" x14ac:dyDescent="0.4">
      <c r="A286"/>
      <c r="B286" s="9" t="str">
        <f t="shared" ca="1" si="20"/>
        <v/>
      </c>
      <c r="C286" t="str">
        <f t="shared" si="21"/>
        <v/>
      </c>
      <c r="T286" s="9">
        <f t="shared" si="22"/>
        <v>0</v>
      </c>
      <c r="Z286" s="9">
        <f t="shared" si="23"/>
        <v>0</v>
      </c>
      <c r="AD286" s="9">
        <f t="shared" si="24"/>
        <v>0</v>
      </c>
    </row>
    <row r="287" spans="1:30" x14ac:dyDescent="0.4">
      <c r="A287"/>
      <c r="B287" s="9" t="str">
        <f t="shared" ca="1" si="20"/>
        <v/>
      </c>
      <c r="C287" t="str">
        <f t="shared" si="21"/>
        <v/>
      </c>
      <c r="T287" s="9">
        <f t="shared" si="22"/>
        <v>0</v>
      </c>
      <c r="Z287" s="9">
        <f t="shared" si="23"/>
        <v>0</v>
      </c>
      <c r="AD287" s="9">
        <f t="shared" si="24"/>
        <v>0</v>
      </c>
    </row>
    <row r="288" spans="1:30" x14ac:dyDescent="0.4">
      <c r="A288"/>
      <c r="B288" s="9" t="str">
        <f t="shared" ca="1" si="20"/>
        <v/>
      </c>
      <c r="C288" t="str">
        <f t="shared" si="21"/>
        <v/>
      </c>
      <c r="T288" s="9">
        <f t="shared" si="22"/>
        <v>0</v>
      </c>
      <c r="Z288" s="9">
        <f t="shared" si="23"/>
        <v>0</v>
      </c>
      <c r="AD288" s="9">
        <f t="shared" si="24"/>
        <v>0</v>
      </c>
    </row>
    <row r="289" spans="1:30" x14ac:dyDescent="0.4">
      <c r="A289"/>
      <c r="B289" s="9" t="str">
        <f t="shared" ca="1" si="20"/>
        <v/>
      </c>
      <c r="C289" t="str">
        <f t="shared" si="21"/>
        <v/>
      </c>
      <c r="T289" s="9">
        <f t="shared" si="22"/>
        <v>0</v>
      </c>
      <c r="Z289" s="9">
        <f t="shared" si="23"/>
        <v>0</v>
      </c>
      <c r="AD289" s="9">
        <f t="shared" si="24"/>
        <v>0</v>
      </c>
    </row>
    <row r="290" spans="1:30" x14ac:dyDescent="0.4">
      <c r="A290"/>
      <c r="B290" s="9" t="str">
        <f t="shared" ca="1" si="20"/>
        <v/>
      </c>
      <c r="C290" t="str">
        <f t="shared" si="21"/>
        <v/>
      </c>
      <c r="T290" s="9">
        <f t="shared" si="22"/>
        <v>0</v>
      </c>
      <c r="Z290" s="9">
        <f t="shared" si="23"/>
        <v>0</v>
      </c>
      <c r="AD290" s="9">
        <f t="shared" si="24"/>
        <v>0</v>
      </c>
    </row>
    <row r="291" spans="1:30" x14ac:dyDescent="0.4">
      <c r="A291"/>
      <c r="B291" s="9" t="str">
        <f t="shared" ca="1" si="20"/>
        <v/>
      </c>
      <c r="C291" t="str">
        <f t="shared" si="21"/>
        <v/>
      </c>
      <c r="T291" s="9">
        <f t="shared" si="22"/>
        <v>0</v>
      </c>
      <c r="Z291" s="9">
        <f t="shared" si="23"/>
        <v>0</v>
      </c>
      <c r="AD291" s="9">
        <f t="shared" si="24"/>
        <v>0</v>
      </c>
    </row>
    <row r="292" spans="1:30" x14ac:dyDescent="0.4">
      <c r="A292"/>
      <c r="B292" s="9" t="str">
        <f t="shared" ca="1" si="20"/>
        <v/>
      </c>
      <c r="C292" t="str">
        <f t="shared" si="21"/>
        <v/>
      </c>
      <c r="T292" s="9">
        <f t="shared" si="22"/>
        <v>0</v>
      </c>
      <c r="Z292" s="9">
        <f t="shared" si="23"/>
        <v>0</v>
      </c>
      <c r="AD292" s="9">
        <f t="shared" si="24"/>
        <v>0</v>
      </c>
    </row>
    <row r="293" spans="1:30" x14ac:dyDescent="0.4">
      <c r="A293"/>
      <c r="B293" s="9" t="str">
        <f t="shared" ca="1" si="20"/>
        <v/>
      </c>
      <c r="C293" t="str">
        <f t="shared" si="21"/>
        <v/>
      </c>
      <c r="T293" s="9">
        <f t="shared" si="22"/>
        <v>0</v>
      </c>
      <c r="Z293" s="9">
        <f t="shared" si="23"/>
        <v>0</v>
      </c>
      <c r="AD293" s="9">
        <f t="shared" si="24"/>
        <v>0</v>
      </c>
    </row>
    <row r="294" spans="1:30" x14ac:dyDescent="0.4">
      <c r="A294"/>
      <c r="B294" s="9" t="str">
        <f t="shared" ca="1" si="20"/>
        <v/>
      </c>
      <c r="C294" t="str">
        <f t="shared" si="21"/>
        <v/>
      </c>
      <c r="T294" s="9">
        <f t="shared" si="22"/>
        <v>0</v>
      </c>
      <c r="Z294" s="9">
        <f t="shared" si="23"/>
        <v>0</v>
      </c>
      <c r="AD294" s="9">
        <f t="shared" si="24"/>
        <v>0</v>
      </c>
    </row>
    <row r="295" spans="1:30" x14ac:dyDescent="0.4">
      <c r="A295"/>
      <c r="B295" s="9" t="str">
        <f t="shared" ca="1" si="20"/>
        <v/>
      </c>
      <c r="C295" t="str">
        <f t="shared" si="21"/>
        <v/>
      </c>
      <c r="T295" s="9">
        <f t="shared" si="22"/>
        <v>0</v>
      </c>
      <c r="Z295" s="9">
        <f t="shared" si="23"/>
        <v>0</v>
      </c>
      <c r="AD295" s="9">
        <f t="shared" si="24"/>
        <v>0</v>
      </c>
    </row>
    <row r="296" spans="1:30" x14ac:dyDescent="0.4">
      <c r="A296"/>
      <c r="B296" s="9" t="str">
        <f t="shared" ca="1" si="20"/>
        <v/>
      </c>
      <c r="C296" t="str">
        <f t="shared" si="21"/>
        <v/>
      </c>
      <c r="T296" s="9">
        <f t="shared" si="22"/>
        <v>0</v>
      </c>
      <c r="Z296" s="9">
        <f t="shared" si="23"/>
        <v>0</v>
      </c>
      <c r="AD296" s="9">
        <f t="shared" si="24"/>
        <v>0</v>
      </c>
    </row>
    <row r="297" spans="1:30" x14ac:dyDescent="0.4">
      <c r="A297"/>
      <c r="B297" s="9" t="str">
        <f t="shared" ca="1" si="20"/>
        <v/>
      </c>
      <c r="C297" t="str">
        <f t="shared" si="21"/>
        <v/>
      </c>
      <c r="T297" s="9">
        <f t="shared" si="22"/>
        <v>0</v>
      </c>
      <c r="Z297" s="9">
        <f t="shared" si="23"/>
        <v>0</v>
      </c>
      <c r="AD297" s="9">
        <f t="shared" si="24"/>
        <v>0</v>
      </c>
    </row>
    <row r="298" spans="1:30" x14ac:dyDescent="0.4">
      <c r="A298"/>
      <c r="B298" s="9" t="str">
        <f t="shared" ca="1" si="20"/>
        <v/>
      </c>
      <c r="C298" t="str">
        <f t="shared" si="21"/>
        <v/>
      </c>
      <c r="T298" s="9">
        <f t="shared" si="22"/>
        <v>0</v>
      </c>
      <c r="Z298" s="9">
        <f t="shared" si="23"/>
        <v>0</v>
      </c>
      <c r="AD298" s="9">
        <f t="shared" si="24"/>
        <v>0</v>
      </c>
    </row>
    <row r="299" spans="1:30" x14ac:dyDescent="0.4">
      <c r="A299"/>
      <c r="B299" s="9" t="str">
        <f t="shared" ca="1" si="20"/>
        <v/>
      </c>
      <c r="C299" t="str">
        <f t="shared" si="21"/>
        <v/>
      </c>
      <c r="T299" s="9">
        <f t="shared" si="22"/>
        <v>0</v>
      </c>
      <c r="Z299" s="9">
        <f t="shared" si="23"/>
        <v>0</v>
      </c>
      <c r="AD299" s="9">
        <f t="shared" si="24"/>
        <v>0</v>
      </c>
    </row>
    <row r="300" spans="1:30" x14ac:dyDescent="0.4">
      <c r="A300"/>
      <c r="B300" s="9" t="str">
        <f t="shared" ca="1" si="20"/>
        <v/>
      </c>
      <c r="C300" t="str">
        <f t="shared" si="21"/>
        <v/>
      </c>
      <c r="T300" s="9">
        <f t="shared" si="22"/>
        <v>0</v>
      </c>
      <c r="Z300" s="9">
        <f t="shared" si="23"/>
        <v>0</v>
      </c>
      <c r="AD300" s="9">
        <f t="shared" si="24"/>
        <v>0</v>
      </c>
    </row>
    <row r="301" spans="1:30" x14ac:dyDescent="0.4">
      <c r="A301"/>
      <c r="B301" s="9" t="str">
        <f t="shared" ca="1" si="20"/>
        <v/>
      </c>
      <c r="C301" t="str">
        <f t="shared" si="21"/>
        <v/>
      </c>
      <c r="T301" s="9">
        <f t="shared" si="22"/>
        <v>0</v>
      </c>
      <c r="Z301" s="9">
        <f t="shared" si="23"/>
        <v>0</v>
      </c>
      <c r="AD301" s="9">
        <f t="shared" si="24"/>
        <v>0</v>
      </c>
    </row>
    <row r="302" spans="1:30" x14ac:dyDescent="0.4">
      <c r="A302"/>
      <c r="B302" s="9" t="str">
        <f t="shared" ca="1" si="20"/>
        <v/>
      </c>
      <c r="C302" t="str">
        <f t="shared" si="21"/>
        <v/>
      </c>
      <c r="T302" s="9">
        <f t="shared" si="22"/>
        <v>0</v>
      </c>
      <c r="Z302" s="9">
        <f t="shared" si="23"/>
        <v>0</v>
      </c>
      <c r="AD302" s="9">
        <f t="shared" si="24"/>
        <v>0</v>
      </c>
    </row>
    <row r="303" spans="1:30" x14ac:dyDescent="0.4">
      <c r="A303"/>
      <c r="B303" s="9" t="str">
        <f t="shared" ca="1" si="20"/>
        <v/>
      </c>
      <c r="C303" t="str">
        <f t="shared" si="21"/>
        <v/>
      </c>
      <c r="T303" s="9">
        <f t="shared" si="22"/>
        <v>0</v>
      </c>
      <c r="Z303" s="9">
        <f t="shared" si="23"/>
        <v>0</v>
      </c>
      <c r="AD303" s="9">
        <f t="shared" si="24"/>
        <v>0</v>
      </c>
    </row>
    <row r="304" spans="1:30" x14ac:dyDescent="0.4">
      <c r="A304"/>
      <c r="B304" s="9" t="str">
        <f t="shared" ca="1" si="20"/>
        <v/>
      </c>
      <c r="C304" t="str">
        <f t="shared" si="21"/>
        <v/>
      </c>
      <c r="T304" s="9">
        <f t="shared" si="22"/>
        <v>0</v>
      </c>
      <c r="Z304" s="9">
        <f t="shared" si="23"/>
        <v>0</v>
      </c>
      <c r="AD304" s="9">
        <f t="shared" si="24"/>
        <v>0</v>
      </c>
    </row>
    <row r="305" spans="1:30" x14ac:dyDescent="0.4">
      <c r="A305"/>
      <c r="B305" s="9" t="str">
        <f t="shared" ca="1" si="20"/>
        <v/>
      </c>
      <c r="C305" t="str">
        <f t="shared" si="21"/>
        <v/>
      </c>
      <c r="T305" s="9">
        <f t="shared" si="22"/>
        <v>0</v>
      </c>
      <c r="Z305" s="9">
        <f t="shared" si="23"/>
        <v>0</v>
      </c>
      <c r="AD305" s="9">
        <f t="shared" si="24"/>
        <v>0</v>
      </c>
    </row>
    <row r="306" spans="1:30" x14ac:dyDescent="0.4">
      <c r="A306"/>
      <c r="B306" s="9" t="str">
        <f t="shared" ca="1" si="20"/>
        <v/>
      </c>
      <c r="C306" t="str">
        <f t="shared" si="21"/>
        <v/>
      </c>
      <c r="T306" s="9">
        <f t="shared" si="22"/>
        <v>0</v>
      </c>
      <c r="Z306" s="9">
        <f t="shared" si="23"/>
        <v>0</v>
      </c>
      <c r="AD306" s="9">
        <f t="shared" si="24"/>
        <v>0</v>
      </c>
    </row>
    <row r="307" spans="1:30" x14ac:dyDescent="0.4">
      <c r="A307"/>
      <c r="B307" s="9" t="str">
        <f t="shared" ca="1" si="20"/>
        <v/>
      </c>
      <c r="C307" t="str">
        <f t="shared" si="21"/>
        <v/>
      </c>
      <c r="T307" s="9">
        <f t="shared" si="22"/>
        <v>0</v>
      </c>
      <c r="Z307" s="9">
        <f t="shared" si="23"/>
        <v>0</v>
      </c>
      <c r="AD307" s="9">
        <f t="shared" si="24"/>
        <v>0</v>
      </c>
    </row>
    <row r="308" spans="1:30" x14ac:dyDescent="0.4">
      <c r="A308"/>
      <c r="B308" s="9" t="str">
        <f t="shared" ca="1" si="20"/>
        <v/>
      </c>
      <c r="C308" t="str">
        <f t="shared" si="21"/>
        <v/>
      </c>
      <c r="T308" s="9">
        <f t="shared" si="22"/>
        <v>0</v>
      </c>
      <c r="Z308" s="9">
        <f t="shared" si="23"/>
        <v>0</v>
      </c>
      <c r="AD308" s="9">
        <f t="shared" si="24"/>
        <v>0</v>
      </c>
    </row>
    <row r="309" spans="1:30" x14ac:dyDescent="0.4">
      <c r="A309"/>
      <c r="B309" s="9" t="str">
        <f t="shared" ca="1" si="20"/>
        <v/>
      </c>
      <c r="C309" t="str">
        <f t="shared" si="21"/>
        <v/>
      </c>
      <c r="T309" s="9">
        <f t="shared" si="22"/>
        <v>0</v>
      </c>
      <c r="Z309" s="9">
        <f t="shared" si="23"/>
        <v>0</v>
      </c>
      <c r="AD309" s="9">
        <f t="shared" si="24"/>
        <v>0</v>
      </c>
    </row>
    <row r="310" spans="1:30" x14ac:dyDescent="0.4">
      <c r="A310"/>
      <c r="B310" s="9" t="str">
        <f t="shared" ca="1" si="20"/>
        <v/>
      </c>
      <c r="C310" t="str">
        <f t="shared" si="21"/>
        <v/>
      </c>
      <c r="T310" s="9">
        <f t="shared" si="22"/>
        <v>0</v>
      </c>
      <c r="Z310" s="9">
        <f t="shared" si="23"/>
        <v>0</v>
      </c>
      <c r="AD310" s="9">
        <f t="shared" si="24"/>
        <v>0</v>
      </c>
    </row>
    <row r="311" spans="1:30" x14ac:dyDescent="0.4">
      <c r="A311"/>
      <c r="B311" s="9" t="str">
        <f t="shared" ca="1" si="20"/>
        <v/>
      </c>
      <c r="C311" t="str">
        <f t="shared" si="21"/>
        <v/>
      </c>
      <c r="T311" s="9">
        <f t="shared" si="22"/>
        <v>0</v>
      </c>
      <c r="Z311" s="9">
        <f t="shared" si="23"/>
        <v>0</v>
      </c>
      <c r="AD311" s="9">
        <f t="shared" si="24"/>
        <v>0</v>
      </c>
    </row>
    <row r="312" spans="1:30" x14ac:dyDescent="0.4">
      <c r="A312"/>
      <c r="B312" s="9" t="str">
        <f t="shared" ca="1" si="20"/>
        <v/>
      </c>
      <c r="C312" t="str">
        <f t="shared" si="21"/>
        <v/>
      </c>
      <c r="T312" s="9">
        <f t="shared" si="22"/>
        <v>0</v>
      </c>
      <c r="Z312" s="9">
        <f t="shared" si="23"/>
        <v>0</v>
      </c>
      <c r="AD312" s="9">
        <f t="shared" si="24"/>
        <v>0</v>
      </c>
    </row>
    <row r="313" spans="1:30" x14ac:dyDescent="0.4">
      <c r="A313"/>
      <c r="B313" s="9" t="str">
        <f t="shared" ca="1" si="20"/>
        <v/>
      </c>
      <c r="C313" t="str">
        <f t="shared" si="21"/>
        <v/>
      </c>
      <c r="T313" s="9">
        <f t="shared" si="22"/>
        <v>0</v>
      </c>
      <c r="Z313" s="9">
        <f t="shared" si="23"/>
        <v>0</v>
      </c>
      <c r="AD313" s="9">
        <f t="shared" si="24"/>
        <v>0</v>
      </c>
    </row>
    <row r="314" spans="1:30" x14ac:dyDescent="0.4">
      <c r="A314"/>
      <c r="B314" s="9" t="str">
        <f t="shared" ca="1" si="20"/>
        <v/>
      </c>
      <c r="C314" t="str">
        <f t="shared" si="21"/>
        <v/>
      </c>
      <c r="T314" s="9">
        <f t="shared" si="22"/>
        <v>0</v>
      </c>
      <c r="Z314" s="9">
        <f t="shared" si="23"/>
        <v>0</v>
      </c>
      <c r="AD314" s="9">
        <f t="shared" si="24"/>
        <v>0</v>
      </c>
    </row>
    <row r="315" spans="1:30" x14ac:dyDescent="0.4">
      <c r="A315"/>
      <c r="B315" s="9" t="str">
        <f t="shared" ca="1" si="20"/>
        <v/>
      </c>
      <c r="C315" t="str">
        <f t="shared" si="21"/>
        <v/>
      </c>
      <c r="T315" s="9">
        <f t="shared" si="22"/>
        <v>0</v>
      </c>
      <c r="Z315" s="9">
        <f t="shared" si="23"/>
        <v>0</v>
      </c>
      <c r="AD315" s="9">
        <f t="shared" si="24"/>
        <v>0</v>
      </c>
    </row>
    <row r="316" spans="1:30" x14ac:dyDescent="0.4">
      <c r="A316"/>
      <c r="B316" s="9" t="str">
        <f t="shared" ca="1" si="20"/>
        <v/>
      </c>
      <c r="C316" t="str">
        <f t="shared" si="21"/>
        <v/>
      </c>
      <c r="T316" s="9">
        <f t="shared" si="22"/>
        <v>0</v>
      </c>
      <c r="Z316" s="9">
        <f t="shared" si="23"/>
        <v>0</v>
      </c>
      <c r="AD316" s="9">
        <f t="shared" si="24"/>
        <v>0</v>
      </c>
    </row>
    <row r="317" spans="1:30" x14ac:dyDescent="0.4">
      <c r="A317"/>
      <c r="B317" s="9" t="str">
        <f t="shared" ca="1" si="20"/>
        <v/>
      </c>
      <c r="C317" t="str">
        <f t="shared" si="21"/>
        <v/>
      </c>
      <c r="T317" s="9">
        <f t="shared" si="22"/>
        <v>0</v>
      </c>
      <c r="Z317" s="9">
        <f t="shared" si="23"/>
        <v>0</v>
      </c>
      <c r="AD317" s="9">
        <f t="shared" si="24"/>
        <v>0</v>
      </c>
    </row>
    <row r="318" spans="1:30" x14ac:dyDescent="0.4">
      <c r="A318"/>
      <c r="B318" s="9" t="str">
        <f t="shared" ca="1" si="20"/>
        <v/>
      </c>
      <c r="C318" t="str">
        <f t="shared" si="21"/>
        <v/>
      </c>
      <c r="T318" s="9">
        <f t="shared" si="22"/>
        <v>0</v>
      </c>
      <c r="Z318" s="9">
        <f t="shared" si="23"/>
        <v>0</v>
      </c>
      <c r="AD318" s="9">
        <f t="shared" si="24"/>
        <v>0</v>
      </c>
    </row>
    <row r="319" spans="1:30" x14ac:dyDescent="0.4">
      <c r="A319"/>
      <c r="B319" s="9" t="str">
        <f t="shared" ca="1" si="20"/>
        <v/>
      </c>
      <c r="C319" t="str">
        <f t="shared" si="21"/>
        <v/>
      </c>
      <c r="T319" s="9">
        <f t="shared" si="22"/>
        <v>0</v>
      </c>
      <c r="Z319" s="9">
        <f t="shared" si="23"/>
        <v>0</v>
      </c>
      <c r="AD319" s="9">
        <f t="shared" si="24"/>
        <v>0</v>
      </c>
    </row>
    <row r="320" spans="1:30" x14ac:dyDescent="0.4">
      <c r="A320"/>
      <c r="B320" s="9" t="str">
        <f t="shared" ca="1" si="20"/>
        <v/>
      </c>
      <c r="C320" t="str">
        <f t="shared" si="21"/>
        <v/>
      </c>
      <c r="T320" s="9">
        <f t="shared" si="22"/>
        <v>0</v>
      </c>
      <c r="Z320" s="9">
        <f t="shared" si="23"/>
        <v>0</v>
      </c>
      <c r="AD320" s="9">
        <f t="shared" si="24"/>
        <v>0</v>
      </c>
    </row>
    <row r="321" spans="1:30" x14ac:dyDescent="0.4">
      <c r="A321"/>
      <c r="B321" s="9" t="str">
        <f t="shared" ca="1" si="20"/>
        <v/>
      </c>
      <c r="C321" t="str">
        <f t="shared" si="21"/>
        <v/>
      </c>
      <c r="T321" s="9">
        <f t="shared" si="22"/>
        <v>0</v>
      </c>
      <c r="Z321" s="9">
        <f t="shared" si="23"/>
        <v>0</v>
      </c>
      <c r="AD321" s="9">
        <f t="shared" si="24"/>
        <v>0</v>
      </c>
    </row>
    <row r="322" spans="1:30" x14ac:dyDescent="0.4">
      <c r="A322"/>
      <c r="B322" s="9" t="str">
        <f t="shared" ca="1" si="20"/>
        <v/>
      </c>
      <c r="C322" t="str">
        <f t="shared" si="21"/>
        <v/>
      </c>
      <c r="T322" s="9">
        <f t="shared" si="22"/>
        <v>0</v>
      </c>
      <c r="Z322" s="9">
        <f t="shared" si="23"/>
        <v>0</v>
      </c>
      <c r="AD322" s="9">
        <f t="shared" si="24"/>
        <v>0</v>
      </c>
    </row>
    <row r="323" spans="1:30" x14ac:dyDescent="0.4">
      <c r="A323"/>
      <c r="B323" s="9" t="str">
        <f t="shared" ref="B323:B386" ca="1" si="25">TEXT(IFERROR(LOOKUP(10^8,MID(A323,ROW(INDIRECT("1:"&amp;LEN(A323)-11)),8)+0),IF(A323="","",TRIM(RIGHT(SUBSTITUTE(LEFT(A323,LEN(A323)-4),"\",REPT(" ",50)),50)))),"00000000")</f>
        <v/>
      </c>
      <c r="C323" t="str">
        <f t="shared" ref="C323:C386" si="26">IF(A323="","",$J$1&amp;"\"&amp;A323)</f>
        <v/>
      </c>
      <c r="T323" s="9">
        <f t="shared" si="22"/>
        <v>0</v>
      </c>
      <c r="Z323" s="9">
        <f t="shared" si="23"/>
        <v>0</v>
      </c>
      <c r="AD323" s="9">
        <f t="shared" si="24"/>
        <v>0</v>
      </c>
    </row>
    <row r="324" spans="1:30" x14ac:dyDescent="0.4">
      <c r="A324"/>
      <c r="B324" s="9" t="str">
        <f t="shared" ca="1" si="25"/>
        <v/>
      </c>
      <c r="C324" t="str">
        <f t="shared" si="26"/>
        <v/>
      </c>
      <c r="T324" s="9">
        <f t="shared" si="22"/>
        <v>0</v>
      </c>
      <c r="Z324" s="9">
        <f t="shared" si="23"/>
        <v>0</v>
      </c>
      <c r="AD324" s="9">
        <f t="shared" si="24"/>
        <v>0</v>
      </c>
    </row>
    <row r="325" spans="1:30" x14ac:dyDescent="0.4">
      <c r="A325"/>
      <c r="B325" s="9" t="str">
        <f t="shared" ca="1" si="25"/>
        <v/>
      </c>
      <c r="C325" t="str">
        <f t="shared" si="26"/>
        <v/>
      </c>
      <c r="T325" s="9">
        <f t="shared" si="22"/>
        <v>0</v>
      </c>
      <c r="Z325" s="9">
        <f t="shared" si="23"/>
        <v>0</v>
      </c>
      <c r="AD325" s="9">
        <f t="shared" si="24"/>
        <v>0</v>
      </c>
    </row>
    <row r="326" spans="1:30" x14ac:dyDescent="0.4">
      <c r="A326"/>
      <c r="B326" s="9" t="str">
        <f t="shared" ca="1" si="25"/>
        <v/>
      </c>
      <c r="C326" t="str">
        <f t="shared" si="26"/>
        <v/>
      </c>
      <c r="T326" s="9">
        <f t="shared" si="22"/>
        <v>0</v>
      </c>
      <c r="Z326" s="9">
        <f t="shared" si="23"/>
        <v>0</v>
      </c>
      <c r="AD326" s="9">
        <f t="shared" si="24"/>
        <v>0</v>
      </c>
    </row>
    <row r="327" spans="1:30" x14ac:dyDescent="0.4">
      <c r="A327"/>
      <c r="B327" s="9" t="str">
        <f t="shared" ca="1" si="25"/>
        <v/>
      </c>
      <c r="C327" t="str">
        <f t="shared" si="26"/>
        <v/>
      </c>
      <c r="T327" s="9">
        <f t="shared" si="22"/>
        <v>0</v>
      </c>
      <c r="Z327" s="9">
        <f t="shared" si="23"/>
        <v>0</v>
      </c>
      <c r="AD327" s="9">
        <f t="shared" si="24"/>
        <v>0</v>
      </c>
    </row>
    <row r="328" spans="1:30" x14ac:dyDescent="0.4">
      <c r="A328"/>
      <c r="B328" s="9" t="str">
        <f t="shared" ca="1" si="25"/>
        <v/>
      </c>
      <c r="C328" t="str">
        <f t="shared" si="26"/>
        <v/>
      </c>
      <c r="T328" s="9">
        <f t="shared" ref="T328:T391" si="27">(COUNTIFS(TH_TK,N328,TH_DuNo,O328,TH_DuNoNT,P328,TH_DuCo,Q328,TH_DuCoNT,R328,TH_SoLuong,S328)&gt;0)*1</f>
        <v>0</v>
      </c>
      <c r="Z328" s="9">
        <f t="shared" ref="Z328:Z391" si="28">(COUNTIFS(NV,U328,TK,V328,TongNo,W328,TongCo,X328,SoLuong,Y328)&gt;0)*1</f>
        <v>0</v>
      </c>
      <c r="AD328" s="9">
        <f t="shared" ref="AD328:AD391" si="29">COUNTIFS(ReportType,AA328,ItemCode,AB328,Amount,AC328)</f>
        <v>0</v>
      </c>
    </row>
    <row r="329" spans="1:30" x14ac:dyDescent="0.4">
      <c r="A329"/>
      <c r="B329" s="9" t="str">
        <f t="shared" ca="1" si="25"/>
        <v/>
      </c>
      <c r="C329" t="str">
        <f t="shared" si="26"/>
        <v/>
      </c>
      <c r="T329" s="9">
        <f t="shared" si="27"/>
        <v>0</v>
      </c>
      <c r="Z329" s="9">
        <f t="shared" si="28"/>
        <v>0</v>
      </c>
      <c r="AD329" s="9">
        <f t="shared" si="29"/>
        <v>0</v>
      </c>
    </row>
    <row r="330" spans="1:30" x14ac:dyDescent="0.4">
      <c r="A330"/>
      <c r="B330" s="9" t="str">
        <f t="shared" ca="1" si="25"/>
        <v/>
      </c>
      <c r="C330" t="str">
        <f t="shared" si="26"/>
        <v/>
      </c>
      <c r="T330" s="9">
        <f t="shared" si="27"/>
        <v>0</v>
      </c>
      <c r="Z330" s="9">
        <f t="shared" si="28"/>
        <v>0</v>
      </c>
      <c r="AD330" s="9">
        <f t="shared" si="29"/>
        <v>0</v>
      </c>
    </row>
    <row r="331" spans="1:30" x14ac:dyDescent="0.4">
      <c r="A331"/>
      <c r="B331" s="9" t="str">
        <f t="shared" ca="1" si="25"/>
        <v/>
      </c>
      <c r="C331" t="str">
        <f t="shared" si="26"/>
        <v/>
      </c>
      <c r="T331" s="9">
        <f t="shared" si="27"/>
        <v>0</v>
      </c>
      <c r="Z331" s="9">
        <f t="shared" si="28"/>
        <v>0</v>
      </c>
      <c r="AD331" s="9">
        <f t="shared" si="29"/>
        <v>0</v>
      </c>
    </row>
    <row r="332" spans="1:30" x14ac:dyDescent="0.4">
      <c r="A332"/>
      <c r="B332" s="9" t="str">
        <f t="shared" ca="1" si="25"/>
        <v/>
      </c>
      <c r="C332" t="str">
        <f t="shared" si="26"/>
        <v/>
      </c>
      <c r="T332" s="9">
        <f t="shared" si="27"/>
        <v>0</v>
      </c>
      <c r="Z332" s="9">
        <f t="shared" si="28"/>
        <v>0</v>
      </c>
      <c r="AD332" s="9">
        <f t="shared" si="29"/>
        <v>0</v>
      </c>
    </row>
    <row r="333" spans="1:30" x14ac:dyDescent="0.4">
      <c r="A333"/>
      <c r="B333" s="9" t="str">
        <f t="shared" ca="1" si="25"/>
        <v/>
      </c>
      <c r="C333" t="str">
        <f t="shared" si="26"/>
        <v/>
      </c>
      <c r="T333" s="9">
        <f t="shared" si="27"/>
        <v>0</v>
      </c>
      <c r="Z333" s="9">
        <f t="shared" si="28"/>
        <v>0</v>
      </c>
      <c r="AD333" s="9">
        <f t="shared" si="29"/>
        <v>0</v>
      </c>
    </row>
    <row r="334" spans="1:30" x14ac:dyDescent="0.4">
      <c r="A334"/>
      <c r="B334" s="9" t="str">
        <f t="shared" ca="1" si="25"/>
        <v/>
      </c>
      <c r="C334" t="str">
        <f t="shared" si="26"/>
        <v/>
      </c>
      <c r="T334" s="9">
        <f t="shared" si="27"/>
        <v>0</v>
      </c>
      <c r="Z334" s="9">
        <f t="shared" si="28"/>
        <v>0</v>
      </c>
      <c r="AD334" s="9">
        <f t="shared" si="29"/>
        <v>0</v>
      </c>
    </row>
    <row r="335" spans="1:30" x14ac:dyDescent="0.4">
      <c r="A335"/>
      <c r="B335" s="9" t="str">
        <f t="shared" ca="1" si="25"/>
        <v/>
      </c>
      <c r="C335" t="str">
        <f t="shared" si="26"/>
        <v/>
      </c>
      <c r="T335" s="9">
        <f t="shared" si="27"/>
        <v>0</v>
      </c>
      <c r="Z335" s="9">
        <f t="shared" si="28"/>
        <v>0</v>
      </c>
      <c r="AD335" s="9">
        <f t="shared" si="29"/>
        <v>0</v>
      </c>
    </row>
    <row r="336" spans="1:30" x14ac:dyDescent="0.4">
      <c r="A336"/>
      <c r="B336" s="9" t="str">
        <f t="shared" ca="1" si="25"/>
        <v/>
      </c>
      <c r="C336" t="str">
        <f t="shared" si="26"/>
        <v/>
      </c>
      <c r="T336" s="9">
        <f t="shared" si="27"/>
        <v>0</v>
      </c>
      <c r="Z336" s="9">
        <f t="shared" si="28"/>
        <v>0</v>
      </c>
      <c r="AD336" s="9">
        <f t="shared" si="29"/>
        <v>0</v>
      </c>
    </row>
    <row r="337" spans="1:30" x14ac:dyDescent="0.4">
      <c r="A337"/>
      <c r="B337" s="9" t="str">
        <f t="shared" ca="1" si="25"/>
        <v/>
      </c>
      <c r="C337" t="str">
        <f t="shared" si="26"/>
        <v/>
      </c>
      <c r="T337" s="9">
        <f t="shared" si="27"/>
        <v>0</v>
      </c>
      <c r="Z337" s="9">
        <f t="shared" si="28"/>
        <v>0</v>
      </c>
      <c r="AD337" s="9">
        <f t="shared" si="29"/>
        <v>0</v>
      </c>
    </row>
    <row r="338" spans="1:30" x14ac:dyDescent="0.4">
      <c r="A338"/>
      <c r="B338" s="9" t="str">
        <f t="shared" ca="1" si="25"/>
        <v/>
      </c>
      <c r="C338" t="str">
        <f t="shared" si="26"/>
        <v/>
      </c>
      <c r="T338" s="9">
        <f t="shared" si="27"/>
        <v>0</v>
      </c>
      <c r="Z338" s="9">
        <f t="shared" si="28"/>
        <v>0</v>
      </c>
      <c r="AD338" s="9">
        <f t="shared" si="29"/>
        <v>0</v>
      </c>
    </row>
    <row r="339" spans="1:30" x14ac:dyDescent="0.4">
      <c r="A339"/>
      <c r="B339" s="9" t="str">
        <f t="shared" ca="1" si="25"/>
        <v/>
      </c>
      <c r="C339" t="str">
        <f t="shared" si="26"/>
        <v/>
      </c>
      <c r="T339" s="9">
        <f t="shared" si="27"/>
        <v>0</v>
      </c>
      <c r="Z339" s="9">
        <f t="shared" si="28"/>
        <v>0</v>
      </c>
      <c r="AD339" s="9">
        <f t="shared" si="29"/>
        <v>0</v>
      </c>
    </row>
    <row r="340" spans="1:30" x14ac:dyDescent="0.4">
      <c r="A340"/>
      <c r="B340" s="9" t="str">
        <f t="shared" ca="1" si="25"/>
        <v/>
      </c>
      <c r="C340" t="str">
        <f t="shared" si="26"/>
        <v/>
      </c>
      <c r="T340" s="9">
        <f t="shared" si="27"/>
        <v>0</v>
      </c>
      <c r="Z340" s="9">
        <f t="shared" si="28"/>
        <v>0</v>
      </c>
      <c r="AD340" s="9">
        <f t="shared" si="29"/>
        <v>0</v>
      </c>
    </row>
    <row r="341" spans="1:30" x14ac:dyDescent="0.4">
      <c r="A341"/>
      <c r="B341" s="9" t="str">
        <f t="shared" ca="1" si="25"/>
        <v/>
      </c>
      <c r="C341" t="str">
        <f t="shared" si="26"/>
        <v/>
      </c>
      <c r="T341" s="9">
        <f t="shared" si="27"/>
        <v>0</v>
      </c>
      <c r="Z341" s="9">
        <f t="shared" si="28"/>
        <v>0</v>
      </c>
      <c r="AD341" s="9">
        <f t="shared" si="29"/>
        <v>0</v>
      </c>
    </row>
    <row r="342" spans="1:30" x14ac:dyDescent="0.4">
      <c r="A342"/>
      <c r="B342" s="9" t="str">
        <f t="shared" ca="1" si="25"/>
        <v/>
      </c>
      <c r="C342" t="str">
        <f t="shared" si="26"/>
        <v/>
      </c>
      <c r="T342" s="9">
        <f t="shared" si="27"/>
        <v>0</v>
      </c>
      <c r="Z342" s="9">
        <f t="shared" si="28"/>
        <v>0</v>
      </c>
      <c r="AD342" s="9">
        <f t="shared" si="29"/>
        <v>0</v>
      </c>
    </row>
    <row r="343" spans="1:30" x14ac:dyDescent="0.4">
      <c r="A343"/>
      <c r="B343" s="9" t="str">
        <f t="shared" ca="1" si="25"/>
        <v/>
      </c>
      <c r="C343" t="str">
        <f t="shared" si="26"/>
        <v/>
      </c>
      <c r="T343" s="9">
        <f t="shared" si="27"/>
        <v>0</v>
      </c>
      <c r="Z343" s="9">
        <f t="shared" si="28"/>
        <v>0</v>
      </c>
      <c r="AD343" s="9">
        <f t="shared" si="29"/>
        <v>0</v>
      </c>
    </row>
    <row r="344" spans="1:30" x14ac:dyDescent="0.4">
      <c r="A344"/>
      <c r="B344" s="9" t="str">
        <f t="shared" ca="1" si="25"/>
        <v/>
      </c>
      <c r="C344" t="str">
        <f t="shared" si="26"/>
        <v/>
      </c>
      <c r="T344" s="9">
        <f t="shared" si="27"/>
        <v>0</v>
      </c>
      <c r="Z344" s="9">
        <f t="shared" si="28"/>
        <v>0</v>
      </c>
      <c r="AD344" s="9">
        <f t="shared" si="29"/>
        <v>0</v>
      </c>
    </row>
    <row r="345" spans="1:30" x14ac:dyDescent="0.4">
      <c r="A345"/>
      <c r="B345" s="9" t="str">
        <f t="shared" ca="1" si="25"/>
        <v/>
      </c>
      <c r="C345" t="str">
        <f t="shared" si="26"/>
        <v/>
      </c>
      <c r="T345" s="9">
        <f t="shared" si="27"/>
        <v>0</v>
      </c>
      <c r="Z345" s="9">
        <f t="shared" si="28"/>
        <v>0</v>
      </c>
      <c r="AD345" s="9">
        <f t="shared" si="29"/>
        <v>0</v>
      </c>
    </row>
    <row r="346" spans="1:30" x14ac:dyDescent="0.4">
      <c r="A346"/>
      <c r="B346" s="9" t="str">
        <f t="shared" ca="1" si="25"/>
        <v/>
      </c>
      <c r="C346" t="str">
        <f t="shared" si="26"/>
        <v/>
      </c>
      <c r="T346" s="9">
        <f t="shared" si="27"/>
        <v>0</v>
      </c>
      <c r="Z346" s="9">
        <f t="shared" si="28"/>
        <v>0</v>
      </c>
      <c r="AD346" s="9">
        <f t="shared" si="29"/>
        <v>0</v>
      </c>
    </row>
    <row r="347" spans="1:30" x14ac:dyDescent="0.4">
      <c r="A347"/>
      <c r="B347" s="9" t="str">
        <f t="shared" ca="1" si="25"/>
        <v/>
      </c>
      <c r="C347" t="str">
        <f t="shared" si="26"/>
        <v/>
      </c>
      <c r="T347" s="9">
        <f t="shared" si="27"/>
        <v>0</v>
      </c>
      <c r="Z347" s="9">
        <f t="shared" si="28"/>
        <v>0</v>
      </c>
      <c r="AD347" s="9">
        <f t="shared" si="29"/>
        <v>0</v>
      </c>
    </row>
    <row r="348" spans="1:30" x14ac:dyDescent="0.4">
      <c r="A348"/>
      <c r="B348" s="9" t="str">
        <f t="shared" ca="1" si="25"/>
        <v/>
      </c>
      <c r="C348" t="str">
        <f t="shared" si="26"/>
        <v/>
      </c>
      <c r="T348" s="9">
        <f t="shared" si="27"/>
        <v>0</v>
      </c>
      <c r="Z348" s="9">
        <f t="shared" si="28"/>
        <v>0</v>
      </c>
      <c r="AD348" s="9">
        <f t="shared" si="29"/>
        <v>0</v>
      </c>
    </row>
    <row r="349" spans="1:30" x14ac:dyDescent="0.4">
      <c r="A349"/>
      <c r="B349" s="9" t="str">
        <f t="shared" ca="1" si="25"/>
        <v/>
      </c>
      <c r="C349" t="str">
        <f t="shared" si="26"/>
        <v/>
      </c>
      <c r="T349" s="9">
        <f t="shared" si="27"/>
        <v>0</v>
      </c>
      <c r="Z349" s="9">
        <f t="shared" si="28"/>
        <v>0</v>
      </c>
      <c r="AD349" s="9">
        <f t="shared" si="29"/>
        <v>0</v>
      </c>
    </row>
    <row r="350" spans="1:30" x14ac:dyDescent="0.4">
      <c r="A350"/>
      <c r="B350" s="9" t="str">
        <f t="shared" ca="1" si="25"/>
        <v/>
      </c>
      <c r="C350" t="str">
        <f t="shared" si="26"/>
        <v/>
      </c>
      <c r="T350" s="9">
        <f t="shared" si="27"/>
        <v>0</v>
      </c>
      <c r="Z350" s="9">
        <f t="shared" si="28"/>
        <v>0</v>
      </c>
      <c r="AD350" s="9">
        <f t="shared" si="29"/>
        <v>0</v>
      </c>
    </row>
    <row r="351" spans="1:30" x14ac:dyDescent="0.4">
      <c r="A351"/>
      <c r="B351" s="9" t="str">
        <f t="shared" ca="1" si="25"/>
        <v/>
      </c>
      <c r="C351" t="str">
        <f t="shared" si="26"/>
        <v/>
      </c>
      <c r="T351" s="9">
        <f t="shared" si="27"/>
        <v>0</v>
      </c>
      <c r="Z351" s="9">
        <f t="shared" si="28"/>
        <v>0</v>
      </c>
      <c r="AD351" s="9">
        <f t="shared" si="29"/>
        <v>0</v>
      </c>
    </row>
    <row r="352" spans="1:30" x14ac:dyDescent="0.4">
      <c r="A352"/>
      <c r="B352" s="9" t="str">
        <f t="shared" ca="1" si="25"/>
        <v/>
      </c>
      <c r="C352" t="str">
        <f t="shared" si="26"/>
        <v/>
      </c>
      <c r="T352" s="9">
        <f t="shared" si="27"/>
        <v>0</v>
      </c>
      <c r="Z352" s="9">
        <f t="shared" si="28"/>
        <v>0</v>
      </c>
      <c r="AD352" s="9">
        <f t="shared" si="29"/>
        <v>0</v>
      </c>
    </row>
    <row r="353" spans="1:30" x14ac:dyDescent="0.4">
      <c r="A353"/>
      <c r="B353" s="9" t="str">
        <f t="shared" ca="1" si="25"/>
        <v/>
      </c>
      <c r="C353" t="str">
        <f t="shared" si="26"/>
        <v/>
      </c>
      <c r="T353" s="9">
        <f t="shared" si="27"/>
        <v>0</v>
      </c>
      <c r="Z353" s="9">
        <f t="shared" si="28"/>
        <v>0</v>
      </c>
      <c r="AD353" s="9">
        <f t="shared" si="29"/>
        <v>0</v>
      </c>
    </row>
    <row r="354" spans="1:30" x14ac:dyDescent="0.4">
      <c r="A354"/>
      <c r="B354" s="9" t="str">
        <f t="shared" ca="1" si="25"/>
        <v/>
      </c>
      <c r="C354" t="str">
        <f t="shared" si="26"/>
        <v/>
      </c>
      <c r="T354" s="9">
        <f t="shared" si="27"/>
        <v>0</v>
      </c>
      <c r="Z354" s="9">
        <f t="shared" si="28"/>
        <v>0</v>
      </c>
      <c r="AD354" s="9">
        <f t="shared" si="29"/>
        <v>0</v>
      </c>
    </row>
    <row r="355" spans="1:30" x14ac:dyDescent="0.4">
      <c r="A355"/>
      <c r="B355" s="9" t="str">
        <f t="shared" ca="1" si="25"/>
        <v/>
      </c>
      <c r="C355" t="str">
        <f t="shared" si="26"/>
        <v/>
      </c>
      <c r="T355" s="9">
        <f t="shared" si="27"/>
        <v>0</v>
      </c>
      <c r="Z355" s="9">
        <f t="shared" si="28"/>
        <v>0</v>
      </c>
      <c r="AD355" s="9">
        <f t="shared" si="29"/>
        <v>0</v>
      </c>
    </row>
    <row r="356" spans="1:30" x14ac:dyDescent="0.4">
      <c r="A356"/>
      <c r="B356" s="9" t="str">
        <f t="shared" ca="1" si="25"/>
        <v/>
      </c>
      <c r="C356" t="str">
        <f t="shared" si="26"/>
        <v/>
      </c>
      <c r="T356" s="9">
        <f t="shared" si="27"/>
        <v>0</v>
      </c>
      <c r="Z356" s="9">
        <f t="shared" si="28"/>
        <v>0</v>
      </c>
      <c r="AD356" s="9">
        <f t="shared" si="29"/>
        <v>0</v>
      </c>
    </row>
    <row r="357" spans="1:30" x14ac:dyDescent="0.4">
      <c r="A357"/>
      <c r="B357" s="9" t="str">
        <f t="shared" ca="1" si="25"/>
        <v/>
      </c>
      <c r="C357" t="str">
        <f t="shared" si="26"/>
        <v/>
      </c>
      <c r="T357" s="9">
        <f t="shared" si="27"/>
        <v>0</v>
      </c>
      <c r="Z357" s="9">
        <f t="shared" si="28"/>
        <v>0</v>
      </c>
      <c r="AD357" s="9">
        <f t="shared" si="29"/>
        <v>0</v>
      </c>
    </row>
    <row r="358" spans="1:30" x14ac:dyDescent="0.4">
      <c r="A358"/>
      <c r="B358" s="9" t="str">
        <f t="shared" ca="1" si="25"/>
        <v/>
      </c>
      <c r="C358" t="str">
        <f t="shared" si="26"/>
        <v/>
      </c>
      <c r="T358" s="9">
        <f t="shared" si="27"/>
        <v>0</v>
      </c>
      <c r="Z358" s="9">
        <f t="shared" si="28"/>
        <v>0</v>
      </c>
      <c r="AD358" s="9">
        <f t="shared" si="29"/>
        <v>0</v>
      </c>
    </row>
    <row r="359" spans="1:30" x14ac:dyDescent="0.4">
      <c r="A359"/>
      <c r="B359" s="9" t="str">
        <f t="shared" ca="1" si="25"/>
        <v/>
      </c>
      <c r="C359" t="str">
        <f t="shared" si="26"/>
        <v/>
      </c>
      <c r="T359" s="9">
        <f t="shared" si="27"/>
        <v>0</v>
      </c>
      <c r="Z359" s="9">
        <f t="shared" si="28"/>
        <v>0</v>
      </c>
      <c r="AD359" s="9">
        <f t="shared" si="29"/>
        <v>0</v>
      </c>
    </row>
    <row r="360" spans="1:30" x14ac:dyDescent="0.4">
      <c r="A360"/>
      <c r="B360" s="9" t="str">
        <f t="shared" ca="1" si="25"/>
        <v/>
      </c>
      <c r="C360" t="str">
        <f t="shared" si="26"/>
        <v/>
      </c>
      <c r="T360" s="9">
        <f t="shared" si="27"/>
        <v>0</v>
      </c>
      <c r="Z360" s="9">
        <f t="shared" si="28"/>
        <v>0</v>
      </c>
      <c r="AD360" s="9">
        <f t="shared" si="29"/>
        <v>0</v>
      </c>
    </row>
    <row r="361" spans="1:30" x14ac:dyDescent="0.4">
      <c r="A361"/>
      <c r="B361" s="9" t="str">
        <f t="shared" ca="1" si="25"/>
        <v/>
      </c>
      <c r="C361" t="str">
        <f t="shared" si="26"/>
        <v/>
      </c>
      <c r="T361" s="9">
        <f t="shared" si="27"/>
        <v>0</v>
      </c>
      <c r="Z361" s="9">
        <f t="shared" si="28"/>
        <v>0</v>
      </c>
      <c r="AD361" s="9">
        <f t="shared" si="29"/>
        <v>0</v>
      </c>
    </row>
    <row r="362" spans="1:30" x14ac:dyDescent="0.4">
      <c r="A362"/>
      <c r="B362" s="9" t="str">
        <f t="shared" ca="1" si="25"/>
        <v/>
      </c>
      <c r="C362" t="str">
        <f t="shared" si="26"/>
        <v/>
      </c>
      <c r="T362" s="9">
        <f t="shared" si="27"/>
        <v>0</v>
      </c>
      <c r="Z362" s="9">
        <f t="shared" si="28"/>
        <v>0</v>
      </c>
      <c r="AD362" s="9">
        <f t="shared" si="29"/>
        <v>0</v>
      </c>
    </row>
    <row r="363" spans="1:30" x14ac:dyDescent="0.4">
      <c r="A363"/>
      <c r="B363" s="9" t="str">
        <f t="shared" ca="1" si="25"/>
        <v/>
      </c>
      <c r="C363" t="str">
        <f t="shared" si="26"/>
        <v/>
      </c>
      <c r="T363" s="9">
        <f t="shared" si="27"/>
        <v>0</v>
      </c>
      <c r="Z363" s="9">
        <f t="shared" si="28"/>
        <v>0</v>
      </c>
      <c r="AD363" s="9">
        <f t="shared" si="29"/>
        <v>0</v>
      </c>
    </row>
    <row r="364" spans="1:30" x14ac:dyDescent="0.4">
      <c r="A364"/>
      <c r="B364" s="9" t="str">
        <f t="shared" ca="1" si="25"/>
        <v/>
      </c>
      <c r="C364" t="str">
        <f t="shared" si="26"/>
        <v/>
      </c>
      <c r="T364" s="9">
        <f t="shared" si="27"/>
        <v>0</v>
      </c>
      <c r="Z364" s="9">
        <f t="shared" si="28"/>
        <v>0</v>
      </c>
      <c r="AD364" s="9">
        <f t="shared" si="29"/>
        <v>0</v>
      </c>
    </row>
    <row r="365" spans="1:30" x14ac:dyDescent="0.4">
      <c r="A365"/>
      <c r="B365" s="9" t="str">
        <f t="shared" ca="1" si="25"/>
        <v/>
      </c>
      <c r="C365" t="str">
        <f t="shared" si="26"/>
        <v/>
      </c>
      <c r="T365" s="9">
        <f t="shared" si="27"/>
        <v>0</v>
      </c>
      <c r="Z365" s="9">
        <f t="shared" si="28"/>
        <v>0</v>
      </c>
      <c r="AD365" s="9">
        <f t="shared" si="29"/>
        <v>0</v>
      </c>
    </row>
    <row r="366" spans="1:30" x14ac:dyDescent="0.4">
      <c r="A366"/>
      <c r="B366" s="9" t="str">
        <f t="shared" ca="1" si="25"/>
        <v/>
      </c>
      <c r="C366" t="str">
        <f t="shared" si="26"/>
        <v/>
      </c>
      <c r="T366" s="9">
        <f t="shared" si="27"/>
        <v>0</v>
      </c>
      <c r="Z366" s="9">
        <f t="shared" si="28"/>
        <v>0</v>
      </c>
      <c r="AD366" s="9">
        <f t="shared" si="29"/>
        <v>0</v>
      </c>
    </row>
    <row r="367" spans="1:30" x14ac:dyDescent="0.4">
      <c r="A367"/>
      <c r="B367" s="9" t="str">
        <f t="shared" ca="1" si="25"/>
        <v/>
      </c>
      <c r="C367" t="str">
        <f t="shared" si="26"/>
        <v/>
      </c>
      <c r="T367" s="9">
        <f t="shared" si="27"/>
        <v>0</v>
      </c>
      <c r="Z367" s="9">
        <f t="shared" si="28"/>
        <v>0</v>
      </c>
      <c r="AD367" s="9">
        <f t="shared" si="29"/>
        <v>0</v>
      </c>
    </row>
    <row r="368" spans="1:30" x14ac:dyDescent="0.4">
      <c r="A368"/>
      <c r="B368" s="9" t="str">
        <f t="shared" ca="1" si="25"/>
        <v/>
      </c>
      <c r="C368" t="str">
        <f t="shared" si="26"/>
        <v/>
      </c>
      <c r="T368" s="9">
        <f t="shared" si="27"/>
        <v>0</v>
      </c>
      <c r="Z368" s="9">
        <f t="shared" si="28"/>
        <v>0</v>
      </c>
      <c r="AD368" s="9">
        <f t="shared" si="29"/>
        <v>0</v>
      </c>
    </row>
    <row r="369" spans="1:30" x14ac:dyDescent="0.4">
      <c r="A369"/>
      <c r="B369" s="9" t="str">
        <f t="shared" ca="1" si="25"/>
        <v/>
      </c>
      <c r="C369" t="str">
        <f t="shared" si="26"/>
        <v/>
      </c>
      <c r="T369" s="9">
        <f t="shared" si="27"/>
        <v>0</v>
      </c>
      <c r="Z369" s="9">
        <f t="shared" si="28"/>
        <v>0</v>
      </c>
      <c r="AD369" s="9">
        <f t="shared" si="29"/>
        <v>0</v>
      </c>
    </row>
    <row r="370" spans="1:30" x14ac:dyDescent="0.4">
      <c r="A370"/>
      <c r="B370" s="9" t="str">
        <f t="shared" ca="1" si="25"/>
        <v/>
      </c>
      <c r="C370" t="str">
        <f t="shared" si="26"/>
        <v/>
      </c>
      <c r="T370" s="9">
        <f t="shared" si="27"/>
        <v>0</v>
      </c>
      <c r="Z370" s="9">
        <f t="shared" si="28"/>
        <v>0</v>
      </c>
      <c r="AD370" s="9">
        <f t="shared" si="29"/>
        <v>0</v>
      </c>
    </row>
    <row r="371" spans="1:30" x14ac:dyDescent="0.4">
      <c r="A371"/>
      <c r="B371" s="9" t="str">
        <f t="shared" ca="1" si="25"/>
        <v/>
      </c>
      <c r="C371" t="str">
        <f t="shared" si="26"/>
        <v/>
      </c>
      <c r="T371" s="9">
        <f t="shared" si="27"/>
        <v>0</v>
      </c>
      <c r="Z371" s="9">
        <f t="shared" si="28"/>
        <v>0</v>
      </c>
      <c r="AD371" s="9">
        <f t="shared" si="29"/>
        <v>0</v>
      </c>
    </row>
    <row r="372" spans="1:30" x14ac:dyDescent="0.4">
      <c r="A372"/>
      <c r="B372" s="9" t="str">
        <f t="shared" ca="1" si="25"/>
        <v/>
      </c>
      <c r="C372" t="str">
        <f t="shared" si="26"/>
        <v/>
      </c>
      <c r="T372" s="9">
        <f t="shared" si="27"/>
        <v>0</v>
      </c>
      <c r="Z372" s="9">
        <f t="shared" si="28"/>
        <v>0</v>
      </c>
      <c r="AD372" s="9">
        <f t="shared" si="29"/>
        <v>0</v>
      </c>
    </row>
    <row r="373" spans="1:30" x14ac:dyDescent="0.4">
      <c r="A373"/>
      <c r="B373" s="9" t="str">
        <f t="shared" ca="1" si="25"/>
        <v/>
      </c>
      <c r="C373" t="str">
        <f t="shared" si="26"/>
        <v/>
      </c>
      <c r="T373" s="9">
        <f t="shared" si="27"/>
        <v>0</v>
      </c>
      <c r="Z373" s="9">
        <f t="shared" si="28"/>
        <v>0</v>
      </c>
      <c r="AD373" s="9">
        <f t="shared" si="29"/>
        <v>0</v>
      </c>
    </row>
    <row r="374" spans="1:30" x14ac:dyDescent="0.4">
      <c r="A374"/>
      <c r="B374" s="9" t="str">
        <f t="shared" ca="1" si="25"/>
        <v/>
      </c>
      <c r="C374" t="str">
        <f t="shared" si="26"/>
        <v/>
      </c>
      <c r="T374" s="9">
        <f t="shared" si="27"/>
        <v>0</v>
      </c>
      <c r="Z374" s="9">
        <f t="shared" si="28"/>
        <v>0</v>
      </c>
      <c r="AD374" s="9">
        <f t="shared" si="29"/>
        <v>0</v>
      </c>
    </row>
    <row r="375" spans="1:30" x14ac:dyDescent="0.4">
      <c r="A375"/>
      <c r="B375" s="9" t="str">
        <f t="shared" ca="1" si="25"/>
        <v/>
      </c>
      <c r="C375" t="str">
        <f t="shared" si="26"/>
        <v/>
      </c>
      <c r="T375" s="9">
        <f t="shared" si="27"/>
        <v>0</v>
      </c>
      <c r="Z375" s="9">
        <f t="shared" si="28"/>
        <v>0</v>
      </c>
      <c r="AD375" s="9">
        <f t="shared" si="29"/>
        <v>0</v>
      </c>
    </row>
    <row r="376" spans="1:30" x14ac:dyDescent="0.4">
      <c r="A376"/>
      <c r="B376" s="9" t="str">
        <f t="shared" ca="1" si="25"/>
        <v/>
      </c>
      <c r="C376" t="str">
        <f t="shared" si="26"/>
        <v/>
      </c>
      <c r="T376" s="9">
        <f t="shared" si="27"/>
        <v>0</v>
      </c>
      <c r="Z376" s="9">
        <f t="shared" si="28"/>
        <v>0</v>
      </c>
      <c r="AD376" s="9">
        <f t="shared" si="29"/>
        <v>0</v>
      </c>
    </row>
    <row r="377" spans="1:30" x14ac:dyDescent="0.4">
      <c r="A377"/>
      <c r="B377" s="9" t="str">
        <f t="shared" ca="1" si="25"/>
        <v/>
      </c>
      <c r="C377" t="str">
        <f t="shared" si="26"/>
        <v/>
      </c>
      <c r="T377" s="9">
        <f t="shared" si="27"/>
        <v>0</v>
      </c>
      <c r="Z377" s="9">
        <f t="shared" si="28"/>
        <v>0</v>
      </c>
      <c r="AD377" s="9">
        <f t="shared" si="29"/>
        <v>0</v>
      </c>
    </row>
    <row r="378" spans="1:30" x14ac:dyDescent="0.4">
      <c r="A378"/>
      <c r="B378" s="9" t="str">
        <f t="shared" ca="1" si="25"/>
        <v/>
      </c>
      <c r="C378" t="str">
        <f t="shared" si="26"/>
        <v/>
      </c>
      <c r="T378" s="9">
        <f t="shared" si="27"/>
        <v>0</v>
      </c>
      <c r="Z378" s="9">
        <f t="shared" si="28"/>
        <v>0</v>
      </c>
      <c r="AD378" s="9">
        <f t="shared" si="29"/>
        <v>0</v>
      </c>
    </row>
    <row r="379" spans="1:30" x14ac:dyDescent="0.4">
      <c r="A379"/>
      <c r="B379" s="9" t="str">
        <f t="shared" ca="1" si="25"/>
        <v/>
      </c>
      <c r="C379" t="str">
        <f t="shared" si="26"/>
        <v/>
      </c>
      <c r="T379" s="9">
        <f t="shared" si="27"/>
        <v>0</v>
      </c>
      <c r="Z379" s="9">
        <f t="shared" si="28"/>
        <v>0</v>
      </c>
      <c r="AD379" s="9">
        <f t="shared" si="29"/>
        <v>0</v>
      </c>
    </row>
    <row r="380" spans="1:30" x14ac:dyDescent="0.4">
      <c r="A380"/>
      <c r="B380" s="9" t="str">
        <f t="shared" ca="1" si="25"/>
        <v/>
      </c>
      <c r="C380" t="str">
        <f t="shared" si="26"/>
        <v/>
      </c>
      <c r="T380" s="9">
        <f t="shared" si="27"/>
        <v>0</v>
      </c>
      <c r="Z380" s="9">
        <f t="shared" si="28"/>
        <v>0</v>
      </c>
      <c r="AD380" s="9">
        <f t="shared" si="29"/>
        <v>0</v>
      </c>
    </row>
    <row r="381" spans="1:30" x14ac:dyDescent="0.4">
      <c r="A381"/>
      <c r="B381" s="9" t="str">
        <f t="shared" ca="1" si="25"/>
        <v/>
      </c>
      <c r="C381" t="str">
        <f t="shared" si="26"/>
        <v/>
      </c>
      <c r="T381" s="9">
        <f t="shared" si="27"/>
        <v>0</v>
      </c>
      <c r="Z381" s="9">
        <f t="shared" si="28"/>
        <v>0</v>
      </c>
      <c r="AD381" s="9">
        <f t="shared" si="29"/>
        <v>0</v>
      </c>
    </row>
    <row r="382" spans="1:30" x14ac:dyDescent="0.4">
      <c r="A382"/>
      <c r="B382" s="9" t="str">
        <f t="shared" ca="1" si="25"/>
        <v/>
      </c>
      <c r="C382" t="str">
        <f t="shared" si="26"/>
        <v/>
      </c>
      <c r="T382" s="9">
        <f t="shared" si="27"/>
        <v>0</v>
      </c>
      <c r="Z382" s="9">
        <f t="shared" si="28"/>
        <v>0</v>
      </c>
      <c r="AD382" s="9">
        <f t="shared" si="29"/>
        <v>0</v>
      </c>
    </row>
    <row r="383" spans="1:30" x14ac:dyDescent="0.4">
      <c r="A383"/>
      <c r="B383" s="9" t="str">
        <f t="shared" ca="1" si="25"/>
        <v/>
      </c>
      <c r="C383" t="str">
        <f t="shared" si="26"/>
        <v/>
      </c>
      <c r="T383" s="9">
        <f t="shared" si="27"/>
        <v>0</v>
      </c>
      <c r="Z383" s="9">
        <f t="shared" si="28"/>
        <v>0</v>
      </c>
      <c r="AD383" s="9">
        <f t="shared" si="29"/>
        <v>0</v>
      </c>
    </row>
    <row r="384" spans="1:30" x14ac:dyDescent="0.4">
      <c r="A384"/>
      <c r="B384" s="9" t="str">
        <f t="shared" ca="1" si="25"/>
        <v/>
      </c>
      <c r="C384" t="str">
        <f t="shared" si="26"/>
        <v/>
      </c>
      <c r="T384" s="9">
        <f t="shared" si="27"/>
        <v>0</v>
      </c>
      <c r="Z384" s="9">
        <f t="shared" si="28"/>
        <v>0</v>
      </c>
      <c r="AD384" s="9">
        <f t="shared" si="29"/>
        <v>0</v>
      </c>
    </row>
    <row r="385" spans="1:30" x14ac:dyDescent="0.4">
      <c r="A385"/>
      <c r="B385" s="9" t="str">
        <f t="shared" ca="1" si="25"/>
        <v/>
      </c>
      <c r="C385" t="str">
        <f t="shared" si="26"/>
        <v/>
      </c>
      <c r="T385" s="9">
        <f t="shared" si="27"/>
        <v>0</v>
      </c>
      <c r="Z385" s="9">
        <f t="shared" si="28"/>
        <v>0</v>
      </c>
      <c r="AD385" s="9">
        <f t="shared" si="29"/>
        <v>0</v>
      </c>
    </row>
    <row r="386" spans="1:30" x14ac:dyDescent="0.4">
      <c r="A386"/>
      <c r="B386" s="9" t="str">
        <f t="shared" ca="1" si="25"/>
        <v/>
      </c>
      <c r="C386" t="str">
        <f t="shared" si="26"/>
        <v/>
      </c>
      <c r="T386" s="9">
        <f t="shared" si="27"/>
        <v>0</v>
      </c>
      <c r="Z386" s="9">
        <f t="shared" si="28"/>
        <v>0</v>
      </c>
      <c r="AD386" s="9">
        <f t="shared" si="29"/>
        <v>0</v>
      </c>
    </row>
    <row r="387" spans="1:30" x14ac:dyDescent="0.4">
      <c r="A387"/>
      <c r="B387" s="9" t="str">
        <f t="shared" ref="B387:B450" ca="1" si="30">TEXT(IFERROR(LOOKUP(10^8,MID(A387,ROW(INDIRECT("1:"&amp;LEN(A387)-11)),8)+0),IF(A387="","",TRIM(RIGHT(SUBSTITUTE(LEFT(A387,LEN(A387)-4),"\",REPT(" ",50)),50)))),"00000000")</f>
        <v/>
      </c>
      <c r="C387" t="str">
        <f t="shared" ref="C387:C450" si="31">IF(A387="","",$J$1&amp;"\"&amp;A387)</f>
        <v/>
      </c>
      <c r="T387" s="9">
        <f t="shared" si="27"/>
        <v>0</v>
      </c>
      <c r="Z387" s="9">
        <f t="shared" si="28"/>
        <v>0</v>
      </c>
      <c r="AD387" s="9">
        <f t="shared" si="29"/>
        <v>0</v>
      </c>
    </row>
    <row r="388" spans="1:30" x14ac:dyDescent="0.4">
      <c r="A388"/>
      <c r="B388" s="9" t="str">
        <f t="shared" ca="1" si="30"/>
        <v/>
      </c>
      <c r="C388" t="str">
        <f t="shared" si="31"/>
        <v/>
      </c>
      <c r="T388" s="9">
        <f t="shared" si="27"/>
        <v>0</v>
      </c>
      <c r="Z388" s="9">
        <f t="shared" si="28"/>
        <v>0</v>
      </c>
      <c r="AD388" s="9">
        <f t="shared" si="29"/>
        <v>0</v>
      </c>
    </row>
    <row r="389" spans="1:30" x14ac:dyDescent="0.4">
      <c r="A389"/>
      <c r="B389" s="9" t="str">
        <f t="shared" ca="1" si="30"/>
        <v/>
      </c>
      <c r="C389" t="str">
        <f t="shared" si="31"/>
        <v/>
      </c>
      <c r="T389" s="9">
        <f t="shared" si="27"/>
        <v>0</v>
      </c>
      <c r="Z389" s="9">
        <f t="shared" si="28"/>
        <v>0</v>
      </c>
      <c r="AD389" s="9">
        <f t="shared" si="29"/>
        <v>0</v>
      </c>
    </row>
    <row r="390" spans="1:30" x14ac:dyDescent="0.4">
      <c r="A390"/>
      <c r="B390" s="9" t="str">
        <f t="shared" ca="1" si="30"/>
        <v/>
      </c>
      <c r="C390" t="str">
        <f t="shared" si="31"/>
        <v/>
      </c>
      <c r="T390" s="9">
        <f t="shared" si="27"/>
        <v>0</v>
      </c>
      <c r="Z390" s="9">
        <f t="shared" si="28"/>
        <v>0</v>
      </c>
      <c r="AD390" s="9">
        <f t="shared" si="29"/>
        <v>0</v>
      </c>
    </row>
    <row r="391" spans="1:30" x14ac:dyDescent="0.4">
      <c r="A391"/>
      <c r="B391" s="9" t="str">
        <f t="shared" ca="1" si="30"/>
        <v/>
      </c>
      <c r="C391" t="str">
        <f t="shared" si="31"/>
        <v/>
      </c>
      <c r="T391" s="9">
        <f t="shared" si="27"/>
        <v>0</v>
      </c>
      <c r="Z391" s="9">
        <f t="shared" si="28"/>
        <v>0</v>
      </c>
      <c r="AD391" s="9">
        <f t="shared" si="29"/>
        <v>0</v>
      </c>
    </row>
    <row r="392" spans="1:30" x14ac:dyDescent="0.4">
      <c r="A392"/>
      <c r="B392" s="9" t="str">
        <f t="shared" ca="1" si="30"/>
        <v/>
      </c>
      <c r="C392" t="str">
        <f t="shared" si="31"/>
        <v/>
      </c>
      <c r="T392" s="9">
        <f t="shared" ref="T392:T455" si="32">(COUNTIFS(TH_TK,N392,TH_DuNo,O392,TH_DuNoNT,P392,TH_DuCo,Q392,TH_DuCoNT,R392,TH_SoLuong,S392)&gt;0)*1</f>
        <v>0</v>
      </c>
      <c r="Z392" s="9">
        <f t="shared" ref="Z392:Z455" si="33">(COUNTIFS(NV,U392,TK,V392,TongNo,W392,TongCo,X392,SoLuong,Y392)&gt;0)*1</f>
        <v>0</v>
      </c>
      <c r="AD392" s="9">
        <f t="shared" ref="AD392:AD455" si="34">COUNTIFS(ReportType,AA392,ItemCode,AB392,Amount,AC392)</f>
        <v>0</v>
      </c>
    </row>
    <row r="393" spans="1:30" x14ac:dyDescent="0.4">
      <c r="A393"/>
      <c r="B393" s="9" t="str">
        <f t="shared" ca="1" si="30"/>
        <v/>
      </c>
      <c r="C393" t="str">
        <f t="shared" si="31"/>
        <v/>
      </c>
      <c r="T393" s="9">
        <f t="shared" si="32"/>
        <v>0</v>
      </c>
      <c r="Z393" s="9">
        <f t="shared" si="33"/>
        <v>0</v>
      </c>
      <c r="AD393" s="9">
        <f t="shared" si="34"/>
        <v>0</v>
      </c>
    </row>
    <row r="394" spans="1:30" x14ac:dyDescent="0.4">
      <c r="A394"/>
      <c r="B394" s="9" t="str">
        <f t="shared" ca="1" si="30"/>
        <v/>
      </c>
      <c r="C394" t="str">
        <f t="shared" si="31"/>
        <v/>
      </c>
      <c r="T394" s="9">
        <f t="shared" si="32"/>
        <v>0</v>
      </c>
      <c r="Z394" s="9">
        <f t="shared" si="33"/>
        <v>0</v>
      </c>
      <c r="AD394" s="9">
        <f t="shared" si="34"/>
        <v>0</v>
      </c>
    </row>
    <row r="395" spans="1:30" x14ac:dyDescent="0.4">
      <c r="A395"/>
      <c r="B395" s="9" t="str">
        <f t="shared" ca="1" si="30"/>
        <v/>
      </c>
      <c r="C395" t="str">
        <f t="shared" si="31"/>
        <v/>
      </c>
      <c r="T395" s="9">
        <f t="shared" si="32"/>
        <v>0</v>
      </c>
      <c r="Z395" s="9">
        <f t="shared" si="33"/>
        <v>0</v>
      </c>
      <c r="AD395" s="9">
        <f t="shared" si="34"/>
        <v>0</v>
      </c>
    </row>
    <row r="396" spans="1:30" x14ac:dyDescent="0.4">
      <c r="A396"/>
      <c r="B396" s="9" t="str">
        <f t="shared" ca="1" si="30"/>
        <v/>
      </c>
      <c r="C396" t="str">
        <f t="shared" si="31"/>
        <v/>
      </c>
      <c r="T396" s="9">
        <f t="shared" si="32"/>
        <v>0</v>
      </c>
      <c r="Z396" s="9">
        <f t="shared" si="33"/>
        <v>0</v>
      </c>
      <c r="AD396" s="9">
        <f t="shared" si="34"/>
        <v>0</v>
      </c>
    </row>
    <row r="397" spans="1:30" x14ac:dyDescent="0.4">
      <c r="A397"/>
      <c r="B397" s="9" t="str">
        <f t="shared" ca="1" si="30"/>
        <v/>
      </c>
      <c r="C397" t="str">
        <f t="shared" si="31"/>
        <v/>
      </c>
      <c r="T397" s="9">
        <f t="shared" si="32"/>
        <v>0</v>
      </c>
      <c r="Z397" s="9">
        <f t="shared" si="33"/>
        <v>0</v>
      </c>
      <c r="AD397" s="9">
        <f t="shared" si="34"/>
        <v>0</v>
      </c>
    </row>
    <row r="398" spans="1:30" x14ac:dyDescent="0.4">
      <c r="A398"/>
      <c r="B398" s="9" t="str">
        <f t="shared" ca="1" si="30"/>
        <v/>
      </c>
      <c r="C398" t="str">
        <f t="shared" si="31"/>
        <v/>
      </c>
      <c r="T398" s="9">
        <f t="shared" si="32"/>
        <v>0</v>
      </c>
      <c r="Z398" s="9">
        <f t="shared" si="33"/>
        <v>0</v>
      </c>
      <c r="AD398" s="9">
        <f t="shared" si="34"/>
        <v>0</v>
      </c>
    </row>
    <row r="399" spans="1:30" x14ac:dyDescent="0.4">
      <c r="A399"/>
      <c r="B399" s="9" t="str">
        <f t="shared" ca="1" si="30"/>
        <v/>
      </c>
      <c r="C399" t="str">
        <f t="shared" si="31"/>
        <v/>
      </c>
      <c r="T399" s="9">
        <f t="shared" si="32"/>
        <v>0</v>
      </c>
      <c r="Z399" s="9">
        <f t="shared" si="33"/>
        <v>0</v>
      </c>
      <c r="AD399" s="9">
        <f t="shared" si="34"/>
        <v>0</v>
      </c>
    </row>
    <row r="400" spans="1:30" x14ac:dyDescent="0.4">
      <c r="A400"/>
      <c r="B400" s="9" t="str">
        <f t="shared" ca="1" si="30"/>
        <v/>
      </c>
      <c r="C400" t="str">
        <f t="shared" si="31"/>
        <v/>
      </c>
      <c r="T400" s="9">
        <f t="shared" si="32"/>
        <v>0</v>
      </c>
      <c r="Z400" s="9">
        <f t="shared" si="33"/>
        <v>0</v>
      </c>
      <c r="AD400" s="9">
        <f t="shared" si="34"/>
        <v>0</v>
      </c>
    </row>
    <row r="401" spans="1:30" x14ac:dyDescent="0.4">
      <c r="A401"/>
      <c r="B401" s="9" t="str">
        <f t="shared" ca="1" si="30"/>
        <v/>
      </c>
      <c r="C401" t="str">
        <f t="shared" si="31"/>
        <v/>
      </c>
      <c r="T401" s="9">
        <f t="shared" si="32"/>
        <v>0</v>
      </c>
      <c r="Z401" s="9">
        <f t="shared" si="33"/>
        <v>0</v>
      </c>
      <c r="AD401" s="9">
        <f t="shared" si="34"/>
        <v>0</v>
      </c>
    </row>
    <row r="402" spans="1:30" x14ac:dyDescent="0.4">
      <c r="A402"/>
      <c r="B402" s="9" t="str">
        <f t="shared" ca="1" si="30"/>
        <v/>
      </c>
      <c r="C402" t="str">
        <f t="shared" si="31"/>
        <v/>
      </c>
      <c r="T402" s="9">
        <f t="shared" si="32"/>
        <v>0</v>
      </c>
      <c r="Z402" s="9">
        <f t="shared" si="33"/>
        <v>0</v>
      </c>
      <c r="AD402" s="9">
        <f t="shared" si="34"/>
        <v>0</v>
      </c>
    </row>
    <row r="403" spans="1:30" x14ac:dyDescent="0.4">
      <c r="A403"/>
      <c r="B403" s="9" t="str">
        <f t="shared" ca="1" si="30"/>
        <v/>
      </c>
      <c r="C403" t="str">
        <f t="shared" si="31"/>
        <v/>
      </c>
      <c r="T403" s="9">
        <f t="shared" si="32"/>
        <v>0</v>
      </c>
      <c r="Z403" s="9">
        <f t="shared" si="33"/>
        <v>0</v>
      </c>
      <c r="AD403" s="9">
        <f t="shared" si="34"/>
        <v>0</v>
      </c>
    </row>
    <row r="404" spans="1:30" x14ac:dyDescent="0.4">
      <c r="A404"/>
      <c r="B404" s="9" t="str">
        <f t="shared" ca="1" si="30"/>
        <v/>
      </c>
      <c r="C404" t="str">
        <f t="shared" si="31"/>
        <v/>
      </c>
      <c r="T404" s="9">
        <f t="shared" si="32"/>
        <v>0</v>
      </c>
      <c r="Z404" s="9">
        <f t="shared" si="33"/>
        <v>0</v>
      </c>
      <c r="AD404" s="9">
        <f t="shared" si="34"/>
        <v>0</v>
      </c>
    </row>
    <row r="405" spans="1:30" x14ac:dyDescent="0.4">
      <c r="A405"/>
      <c r="B405" s="9" t="str">
        <f t="shared" ca="1" si="30"/>
        <v/>
      </c>
      <c r="C405" t="str">
        <f t="shared" si="31"/>
        <v/>
      </c>
      <c r="T405" s="9">
        <f t="shared" si="32"/>
        <v>0</v>
      </c>
      <c r="Z405" s="9">
        <f t="shared" si="33"/>
        <v>0</v>
      </c>
      <c r="AD405" s="9">
        <f t="shared" si="34"/>
        <v>0</v>
      </c>
    </row>
    <row r="406" spans="1:30" x14ac:dyDescent="0.4">
      <c r="A406"/>
      <c r="B406" s="9" t="str">
        <f t="shared" ca="1" si="30"/>
        <v/>
      </c>
      <c r="C406" t="str">
        <f t="shared" si="31"/>
        <v/>
      </c>
      <c r="T406" s="9">
        <f t="shared" si="32"/>
        <v>0</v>
      </c>
      <c r="Z406" s="9">
        <f t="shared" si="33"/>
        <v>0</v>
      </c>
      <c r="AD406" s="9">
        <f t="shared" si="34"/>
        <v>0</v>
      </c>
    </row>
    <row r="407" spans="1:30" x14ac:dyDescent="0.4">
      <c r="A407"/>
      <c r="B407" s="9" t="str">
        <f t="shared" ca="1" si="30"/>
        <v/>
      </c>
      <c r="C407" t="str">
        <f t="shared" si="31"/>
        <v/>
      </c>
      <c r="T407" s="9">
        <f t="shared" si="32"/>
        <v>0</v>
      </c>
      <c r="Z407" s="9">
        <f t="shared" si="33"/>
        <v>0</v>
      </c>
      <c r="AD407" s="9">
        <f t="shared" si="34"/>
        <v>0</v>
      </c>
    </row>
    <row r="408" spans="1:30" x14ac:dyDescent="0.4">
      <c r="A408"/>
      <c r="B408" s="9" t="str">
        <f t="shared" ca="1" si="30"/>
        <v/>
      </c>
      <c r="C408" t="str">
        <f t="shared" si="31"/>
        <v/>
      </c>
      <c r="T408" s="9">
        <f t="shared" si="32"/>
        <v>0</v>
      </c>
      <c r="Z408" s="9">
        <f t="shared" si="33"/>
        <v>0</v>
      </c>
      <c r="AD408" s="9">
        <f t="shared" si="34"/>
        <v>0</v>
      </c>
    </row>
    <row r="409" spans="1:30" x14ac:dyDescent="0.4">
      <c r="A409"/>
      <c r="B409" s="9" t="str">
        <f t="shared" ca="1" si="30"/>
        <v/>
      </c>
      <c r="C409" t="str">
        <f t="shared" si="31"/>
        <v/>
      </c>
      <c r="T409" s="9">
        <f t="shared" si="32"/>
        <v>0</v>
      </c>
      <c r="Z409" s="9">
        <f t="shared" si="33"/>
        <v>0</v>
      </c>
      <c r="AD409" s="9">
        <f t="shared" si="34"/>
        <v>0</v>
      </c>
    </row>
    <row r="410" spans="1:30" x14ac:dyDescent="0.4">
      <c r="A410"/>
      <c r="B410" s="9" t="str">
        <f t="shared" ca="1" si="30"/>
        <v/>
      </c>
      <c r="C410" t="str">
        <f t="shared" si="31"/>
        <v/>
      </c>
      <c r="T410" s="9">
        <f t="shared" si="32"/>
        <v>0</v>
      </c>
      <c r="Z410" s="9">
        <f t="shared" si="33"/>
        <v>0</v>
      </c>
      <c r="AD410" s="9">
        <f t="shared" si="34"/>
        <v>0</v>
      </c>
    </row>
    <row r="411" spans="1:30" x14ac:dyDescent="0.4">
      <c r="A411"/>
      <c r="B411" s="9" t="str">
        <f t="shared" ca="1" si="30"/>
        <v/>
      </c>
      <c r="C411" t="str">
        <f t="shared" si="31"/>
        <v/>
      </c>
      <c r="T411" s="9">
        <f t="shared" si="32"/>
        <v>0</v>
      </c>
      <c r="Z411" s="9">
        <f t="shared" si="33"/>
        <v>0</v>
      </c>
      <c r="AD411" s="9">
        <f t="shared" si="34"/>
        <v>0</v>
      </c>
    </row>
    <row r="412" spans="1:30" x14ac:dyDescent="0.4">
      <c r="A412"/>
      <c r="B412" s="9" t="str">
        <f t="shared" ca="1" si="30"/>
        <v/>
      </c>
      <c r="C412" t="str">
        <f t="shared" si="31"/>
        <v/>
      </c>
      <c r="T412" s="9">
        <f t="shared" si="32"/>
        <v>0</v>
      </c>
      <c r="Z412" s="9">
        <f t="shared" si="33"/>
        <v>0</v>
      </c>
      <c r="AD412" s="9">
        <f t="shared" si="34"/>
        <v>0</v>
      </c>
    </row>
    <row r="413" spans="1:30" x14ac:dyDescent="0.4">
      <c r="A413"/>
      <c r="B413" s="9" t="str">
        <f t="shared" ca="1" si="30"/>
        <v/>
      </c>
      <c r="C413" t="str">
        <f t="shared" si="31"/>
        <v/>
      </c>
      <c r="T413" s="9">
        <f t="shared" si="32"/>
        <v>0</v>
      </c>
      <c r="Z413" s="9">
        <f t="shared" si="33"/>
        <v>0</v>
      </c>
      <c r="AD413" s="9">
        <f t="shared" si="34"/>
        <v>0</v>
      </c>
    </row>
    <row r="414" spans="1:30" x14ac:dyDescent="0.4">
      <c r="A414"/>
      <c r="B414" s="9" t="str">
        <f t="shared" ca="1" si="30"/>
        <v/>
      </c>
      <c r="C414" t="str">
        <f t="shared" si="31"/>
        <v/>
      </c>
      <c r="T414" s="9">
        <f t="shared" si="32"/>
        <v>0</v>
      </c>
      <c r="Z414" s="9">
        <f t="shared" si="33"/>
        <v>0</v>
      </c>
      <c r="AD414" s="9">
        <f t="shared" si="34"/>
        <v>0</v>
      </c>
    </row>
    <row r="415" spans="1:30" x14ac:dyDescent="0.4">
      <c r="A415"/>
      <c r="B415" s="9" t="str">
        <f t="shared" ca="1" si="30"/>
        <v/>
      </c>
      <c r="C415" t="str">
        <f t="shared" si="31"/>
        <v/>
      </c>
      <c r="T415" s="9">
        <f t="shared" si="32"/>
        <v>0</v>
      </c>
      <c r="Z415" s="9">
        <f t="shared" si="33"/>
        <v>0</v>
      </c>
      <c r="AD415" s="9">
        <f t="shared" si="34"/>
        <v>0</v>
      </c>
    </row>
    <row r="416" spans="1:30" x14ac:dyDescent="0.4">
      <c r="A416"/>
      <c r="B416" s="9" t="str">
        <f t="shared" ca="1" si="30"/>
        <v/>
      </c>
      <c r="C416" t="str">
        <f t="shared" si="31"/>
        <v/>
      </c>
      <c r="T416" s="9">
        <f t="shared" si="32"/>
        <v>0</v>
      </c>
      <c r="Z416" s="9">
        <f t="shared" si="33"/>
        <v>0</v>
      </c>
      <c r="AD416" s="9">
        <f t="shared" si="34"/>
        <v>0</v>
      </c>
    </row>
    <row r="417" spans="1:30" x14ac:dyDescent="0.4">
      <c r="A417"/>
      <c r="B417" s="9" t="str">
        <f t="shared" ca="1" si="30"/>
        <v/>
      </c>
      <c r="C417" t="str">
        <f t="shared" si="31"/>
        <v/>
      </c>
      <c r="T417" s="9">
        <f t="shared" si="32"/>
        <v>0</v>
      </c>
      <c r="Z417" s="9">
        <f t="shared" si="33"/>
        <v>0</v>
      </c>
      <c r="AD417" s="9">
        <f t="shared" si="34"/>
        <v>0</v>
      </c>
    </row>
    <row r="418" spans="1:30" x14ac:dyDescent="0.4">
      <c r="A418"/>
      <c r="B418" s="9" t="str">
        <f t="shared" ca="1" si="30"/>
        <v/>
      </c>
      <c r="C418" t="str">
        <f t="shared" si="31"/>
        <v/>
      </c>
      <c r="T418" s="9">
        <f t="shared" si="32"/>
        <v>0</v>
      </c>
      <c r="Z418" s="9">
        <f t="shared" si="33"/>
        <v>0</v>
      </c>
      <c r="AD418" s="9">
        <f t="shared" si="34"/>
        <v>0</v>
      </c>
    </row>
    <row r="419" spans="1:30" x14ac:dyDescent="0.4">
      <c r="A419"/>
      <c r="B419" s="9" t="str">
        <f t="shared" ca="1" si="30"/>
        <v/>
      </c>
      <c r="C419" t="str">
        <f t="shared" si="31"/>
        <v/>
      </c>
      <c r="T419" s="9">
        <f t="shared" si="32"/>
        <v>0</v>
      </c>
      <c r="Z419" s="9">
        <f t="shared" si="33"/>
        <v>0</v>
      </c>
      <c r="AD419" s="9">
        <f t="shared" si="34"/>
        <v>0</v>
      </c>
    </row>
    <row r="420" spans="1:30" x14ac:dyDescent="0.4">
      <c r="A420"/>
      <c r="B420" s="9" t="str">
        <f t="shared" ca="1" si="30"/>
        <v/>
      </c>
      <c r="C420" t="str">
        <f t="shared" si="31"/>
        <v/>
      </c>
      <c r="T420" s="9">
        <f t="shared" si="32"/>
        <v>0</v>
      </c>
      <c r="Z420" s="9">
        <f t="shared" si="33"/>
        <v>0</v>
      </c>
      <c r="AD420" s="9">
        <f t="shared" si="34"/>
        <v>0</v>
      </c>
    </row>
    <row r="421" spans="1:30" x14ac:dyDescent="0.4">
      <c r="A421"/>
      <c r="B421" s="9" t="str">
        <f t="shared" ca="1" si="30"/>
        <v/>
      </c>
      <c r="C421" t="str">
        <f t="shared" si="31"/>
        <v/>
      </c>
      <c r="T421" s="9">
        <f t="shared" si="32"/>
        <v>0</v>
      </c>
      <c r="Z421" s="9">
        <f t="shared" si="33"/>
        <v>0</v>
      </c>
      <c r="AD421" s="9">
        <f t="shared" si="34"/>
        <v>0</v>
      </c>
    </row>
    <row r="422" spans="1:30" x14ac:dyDescent="0.4">
      <c r="A422"/>
      <c r="B422" s="9" t="str">
        <f t="shared" ca="1" si="30"/>
        <v/>
      </c>
      <c r="C422" t="str">
        <f t="shared" si="31"/>
        <v/>
      </c>
      <c r="T422" s="9">
        <f t="shared" si="32"/>
        <v>0</v>
      </c>
      <c r="Z422" s="9">
        <f t="shared" si="33"/>
        <v>0</v>
      </c>
      <c r="AD422" s="9">
        <f t="shared" si="34"/>
        <v>0</v>
      </c>
    </row>
    <row r="423" spans="1:30" x14ac:dyDescent="0.4">
      <c r="A423"/>
      <c r="B423" s="9" t="str">
        <f t="shared" ca="1" si="30"/>
        <v/>
      </c>
      <c r="C423" t="str">
        <f t="shared" si="31"/>
        <v/>
      </c>
      <c r="T423" s="9">
        <f t="shared" si="32"/>
        <v>0</v>
      </c>
      <c r="Z423" s="9">
        <f t="shared" si="33"/>
        <v>0</v>
      </c>
      <c r="AD423" s="9">
        <f t="shared" si="34"/>
        <v>0</v>
      </c>
    </row>
    <row r="424" spans="1:30" x14ac:dyDescent="0.4">
      <c r="A424"/>
      <c r="B424" s="9" t="str">
        <f t="shared" ca="1" si="30"/>
        <v/>
      </c>
      <c r="C424" t="str">
        <f t="shared" si="31"/>
        <v/>
      </c>
      <c r="T424" s="9">
        <f t="shared" si="32"/>
        <v>0</v>
      </c>
      <c r="Z424" s="9">
        <f t="shared" si="33"/>
        <v>0</v>
      </c>
      <c r="AD424" s="9">
        <f t="shared" si="34"/>
        <v>0</v>
      </c>
    </row>
    <row r="425" spans="1:30" x14ac:dyDescent="0.4">
      <c r="A425"/>
      <c r="B425" s="9" t="str">
        <f t="shared" ca="1" si="30"/>
        <v/>
      </c>
      <c r="C425" t="str">
        <f t="shared" si="31"/>
        <v/>
      </c>
      <c r="T425" s="9">
        <f t="shared" si="32"/>
        <v>0</v>
      </c>
      <c r="Z425" s="9">
        <f t="shared" si="33"/>
        <v>0</v>
      </c>
      <c r="AD425" s="9">
        <f t="shared" si="34"/>
        <v>0</v>
      </c>
    </row>
    <row r="426" spans="1:30" x14ac:dyDescent="0.4">
      <c r="A426"/>
      <c r="B426" s="9" t="str">
        <f t="shared" ca="1" si="30"/>
        <v/>
      </c>
      <c r="C426" t="str">
        <f t="shared" si="31"/>
        <v/>
      </c>
      <c r="T426" s="9">
        <f t="shared" si="32"/>
        <v>0</v>
      </c>
      <c r="Z426" s="9">
        <f t="shared" si="33"/>
        <v>0</v>
      </c>
      <c r="AD426" s="9">
        <f t="shared" si="34"/>
        <v>0</v>
      </c>
    </row>
    <row r="427" spans="1:30" x14ac:dyDescent="0.4">
      <c r="A427"/>
      <c r="B427" s="9" t="str">
        <f t="shared" ca="1" si="30"/>
        <v/>
      </c>
      <c r="C427" t="str">
        <f t="shared" si="31"/>
        <v/>
      </c>
      <c r="T427" s="9">
        <f t="shared" si="32"/>
        <v>0</v>
      </c>
      <c r="Z427" s="9">
        <f t="shared" si="33"/>
        <v>0</v>
      </c>
      <c r="AD427" s="9">
        <f t="shared" si="34"/>
        <v>0</v>
      </c>
    </row>
    <row r="428" spans="1:30" x14ac:dyDescent="0.4">
      <c r="A428"/>
      <c r="B428" s="9" t="str">
        <f t="shared" ca="1" si="30"/>
        <v/>
      </c>
      <c r="C428" t="str">
        <f t="shared" si="31"/>
        <v/>
      </c>
      <c r="T428" s="9">
        <f t="shared" si="32"/>
        <v>0</v>
      </c>
      <c r="Z428" s="9">
        <f t="shared" si="33"/>
        <v>0</v>
      </c>
      <c r="AD428" s="9">
        <f t="shared" si="34"/>
        <v>0</v>
      </c>
    </row>
    <row r="429" spans="1:30" x14ac:dyDescent="0.4">
      <c r="A429"/>
      <c r="B429" s="9" t="str">
        <f t="shared" ca="1" si="30"/>
        <v/>
      </c>
      <c r="C429" t="str">
        <f t="shared" si="31"/>
        <v/>
      </c>
      <c r="T429" s="9">
        <f t="shared" si="32"/>
        <v>0</v>
      </c>
      <c r="Z429" s="9">
        <f t="shared" si="33"/>
        <v>0</v>
      </c>
      <c r="AD429" s="9">
        <f t="shared" si="34"/>
        <v>0</v>
      </c>
    </row>
    <row r="430" spans="1:30" x14ac:dyDescent="0.4">
      <c r="A430"/>
      <c r="B430" s="9" t="str">
        <f t="shared" ca="1" si="30"/>
        <v/>
      </c>
      <c r="C430" t="str">
        <f t="shared" si="31"/>
        <v/>
      </c>
      <c r="T430" s="9">
        <f t="shared" si="32"/>
        <v>0</v>
      </c>
      <c r="Z430" s="9">
        <f t="shared" si="33"/>
        <v>0</v>
      </c>
      <c r="AD430" s="9">
        <f t="shared" si="34"/>
        <v>0</v>
      </c>
    </row>
    <row r="431" spans="1:30" x14ac:dyDescent="0.4">
      <c r="A431"/>
      <c r="B431" s="9" t="str">
        <f t="shared" ca="1" si="30"/>
        <v/>
      </c>
      <c r="C431" t="str">
        <f t="shared" si="31"/>
        <v/>
      </c>
      <c r="T431" s="9">
        <f t="shared" si="32"/>
        <v>0</v>
      </c>
      <c r="Z431" s="9">
        <f t="shared" si="33"/>
        <v>0</v>
      </c>
      <c r="AD431" s="9">
        <f t="shared" si="34"/>
        <v>0</v>
      </c>
    </row>
    <row r="432" spans="1:30" x14ac:dyDescent="0.4">
      <c r="A432"/>
      <c r="B432" s="9" t="str">
        <f t="shared" ca="1" si="30"/>
        <v/>
      </c>
      <c r="C432" t="str">
        <f t="shared" si="31"/>
        <v/>
      </c>
      <c r="T432" s="9">
        <f t="shared" si="32"/>
        <v>0</v>
      </c>
      <c r="Z432" s="9">
        <f t="shared" si="33"/>
        <v>0</v>
      </c>
      <c r="AD432" s="9">
        <f t="shared" si="34"/>
        <v>0</v>
      </c>
    </row>
    <row r="433" spans="1:30" x14ac:dyDescent="0.4">
      <c r="A433"/>
      <c r="B433" s="9" t="str">
        <f t="shared" ca="1" si="30"/>
        <v/>
      </c>
      <c r="C433" t="str">
        <f t="shared" si="31"/>
        <v/>
      </c>
      <c r="T433" s="9">
        <f t="shared" si="32"/>
        <v>0</v>
      </c>
      <c r="Z433" s="9">
        <f t="shared" si="33"/>
        <v>0</v>
      </c>
      <c r="AD433" s="9">
        <f t="shared" si="34"/>
        <v>0</v>
      </c>
    </row>
    <row r="434" spans="1:30" x14ac:dyDescent="0.4">
      <c r="A434"/>
      <c r="B434" s="9" t="str">
        <f t="shared" ca="1" si="30"/>
        <v/>
      </c>
      <c r="C434" t="str">
        <f t="shared" si="31"/>
        <v/>
      </c>
      <c r="T434" s="9">
        <f t="shared" si="32"/>
        <v>0</v>
      </c>
      <c r="Z434" s="9">
        <f t="shared" si="33"/>
        <v>0</v>
      </c>
      <c r="AD434" s="9">
        <f t="shared" si="34"/>
        <v>0</v>
      </c>
    </row>
    <row r="435" spans="1:30" x14ac:dyDescent="0.4">
      <c r="A435"/>
      <c r="B435" s="9" t="str">
        <f t="shared" ca="1" si="30"/>
        <v/>
      </c>
      <c r="C435" t="str">
        <f t="shared" si="31"/>
        <v/>
      </c>
      <c r="T435" s="9">
        <f t="shared" si="32"/>
        <v>0</v>
      </c>
      <c r="Z435" s="9">
        <f t="shared" si="33"/>
        <v>0</v>
      </c>
      <c r="AD435" s="9">
        <f t="shared" si="34"/>
        <v>0</v>
      </c>
    </row>
    <row r="436" spans="1:30" x14ac:dyDescent="0.4">
      <c r="A436"/>
      <c r="B436" s="9" t="str">
        <f t="shared" ca="1" si="30"/>
        <v/>
      </c>
      <c r="C436" t="str">
        <f t="shared" si="31"/>
        <v/>
      </c>
      <c r="T436" s="9">
        <f t="shared" si="32"/>
        <v>0</v>
      </c>
      <c r="Z436" s="9">
        <f t="shared" si="33"/>
        <v>0</v>
      </c>
      <c r="AD436" s="9">
        <f t="shared" si="34"/>
        <v>0</v>
      </c>
    </row>
    <row r="437" spans="1:30" x14ac:dyDescent="0.4">
      <c r="A437"/>
      <c r="B437" s="9" t="str">
        <f t="shared" ca="1" si="30"/>
        <v/>
      </c>
      <c r="C437" t="str">
        <f t="shared" si="31"/>
        <v/>
      </c>
      <c r="T437" s="9">
        <f t="shared" si="32"/>
        <v>0</v>
      </c>
      <c r="Z437" s="9">
        <f t="shared" si="33"/>
        <v>0</v>
      </c>
      <c r="AD437" s="9">
        <f t="shared" si="34"/>
        <v>0</v>
      </c>
    </row>
    <row r="438" spans="1:30" x14ac:dyDescent="0.4">
      <c r="A438"/>
      <c r="B438" s="9" t="str">
        <f t="shared" ca="1" si="30"/>
        <v/>
      </c>
      <c r="C438" t="str">
        <f t="shared" si="31"/>
        <v/>
      </c>
      <c r="T438" s="9">
        <f t="shared" si="32"/>
        <v>0</v>
      </c>
      <c r="Z438" s="9">
        <f t="shared" si="33"/>
        <v>0</v>
      </c>
      <c r="AD438" s="9">
        <f t="shared" si="34"/>
        <v>0</v>
      </c>
    </row>
    <row r="439" spans="1:30" x14ac:dyDescent="0.4">
      <c r="A439"/>
      <c r="B439" s="9" t="str">
        <f t="shared" ca="1" si="30"/>
        <v/>
      </c>
      <c r="C439" t="str">
        <f t="shared" si="31"/>
        <v/>
      </c>
      <c r="T439" s="9">
        <f t="shared" si="32"/>
        <v>0</v>
      </c>
      <c r="Z439" s="9">
        <f t="shared" si="33"/>
        <v>0</v>
      </c>
      <c r="AD439" s="9">
        <f t="shared" si="34"/>
        <v>0</v>
      </c>
    </row>
    <row r="440" spans="1:30" x14ac:dyDescent="0.4">
      <c r="A440"/>
      <c r="B440" s="9" t="str">
        <f t="shared" ca="1" si="30"/>
        <v/>
      </c>
      <c r="C440" t="str">
        <f t="shared" si="31"/>
        <v/>
      </c>
      <c r="T440" s="9">
        <f t="shared" si="32"/>
        <v>0</v>
      </c>
      <c r="Z440" s="9">
        <f t="shared" si="33"/>
        <v>0</v>
      </c>
      <c r="AD440" s="9">
        <f t="shared" si="34"/>
        <v>0</v>
      </c>
    </row>
    <row r="441" spans="1:30" x14ac:dyDescent="0.4">
      <c r="A441"/>
      <c r="B441" s="9" t="str">
        <f t="shared" ca="1" si="30"/>
        <v/>
      </c>
      <c r="C441" t="str">
        <f t="shared" si="31"/>
        <v/>
      </c>
      <c r="T441" s="9">
        <f t="shared" si="32"/>
        <v>0</v>
      </c>
      <c r="Z441" s="9">
        <f t="shared" si="33"/>
        <v>0</v>
      </c>
      <c r="AD441" s="9">
        <f t="shared" si="34"/>
        <v>0</v>
      </c>
    </row>
    <row r="442" spans="1:30" x14ac:dyDescent="0.4">
      <c r="A442"/>
      <c r="B442" s="9" t="str">
        <f t="shared" ca="1" si="30"/>
        <v/>
      </c>
      <c r="C442" t="str">
        <f t="shared" si="31"/>
        <v/>
      </c>
      <c r="T442" s="9">
        <f t="shared" si="32"/>
        <v>0</v>
      </c>
      <c r="Z442" s="9">
        <f t="shared" si="33"/>
        <v>0</v>
      </c>
      <c r="AD442" s="9">
        <f t="shared" si="34"/>
        <v>0</v>
      </c>
    </row>
    <row r="443" spans="1:30" x14ac:dyDescent="0.4">
      <c r="A443"/>
      <c r="B443" s="9" t="str">
        <f t="shared" ca="1" si="30"/>
        <v/>
      </c>
      <c r="C443" t="str">
        <f t="shared" si="31"/>
        <v/>
      </c>
      <c r="T443" s="9">
        <f t="shared" si="32"/>
        <v>0</v>
      </c>
      <c r="Z443" s="9">
        <f t="shared" si="33"/>
        <v>0</v>
      </c>
      <c r="AD443" s="9">
        <f t="shared" si="34"/>
        <v>0</v>
      </c>
    </row>
    <row r="444" spans="1:30" x14ac:dyDescent="0.4">
      <c r="A444"/>
      <c r="B444" s="9" t="str">
        <f t="shared" ca="1" si="30"/>
        <v/>
      </c>
      <c r="C444" t="str">
        <f t="shared" si="31"/>
        <v/>
      </c>
      <c r="T444" s="9">
        <f t="shared" si="32"/>
        <v>0</v>
      </c>
      <c r="Z444" s="9">
        <f t="shared" si="33"/>
        <v>0</v>
      </c>
      <c r="AD444" s="9">
        <f t="shared" si="34"/>
        <v>0</v>
      </c>
    </row>
    <row r="445" spans="1:30" x14ac:dyDescent="0.4">
      <c r="A445"/>
      <c r="B445" s="9" t="str">
        <f t="shared" ca="1" si="30"/>
        <v/>
      </c>
      <c r="C445" t="str">
        <f t="shared" si="31"/>
        <v/>
      </c>
      <c r="T445" s="9">
        <f t="shared" si="32"/>
        <v>0</v>
      </c>
      <c r="Z445" s="9">
        <f t="shared" si="33"/>
        <v>0</v>
      </c>
      <c r="AD445" s="9">
        <f t="shared" si="34"/>
        <v>0</v>
      </c>
    </row>
    <row r="446" spans="1:30" x14ac:dyDescent="0.4">
      <c r="A446"/>
      <c r="B446" s="9" t="str">
        <f t="shared" ca="1" si="30"/>
        <v/>
      </c>
      <c r="C446" t="str">
        <f t="shared" si="31"/>
        <v/>
      </c>
      <c r="T446" s="9">
        <f t="shared" si="32"/>
        <v>0</v>
      </c>
      <c r="Z446" s="9">
        <f t="shared" si="33"/>
        <v>0</v>
      </c>
      <c r="AD446" s="9">
        <f t="shared" si="34"/>
        <v>0</v>
      </c>
    </row>
    <row r="447" spans="1:30" x14ac:dyDescent="0.4">
      <c r="A447"/>
      <c r="B447" s="9" t="str">
        <f t="shared" ca="1" si="30"/>
        <v/>
      </c>
      <c r="C447" t="str">
        <f t="shared" si="31"/>
        <v/>
      </c>
      <c r="T447" s="9">
        <f t="shared" si="32"/>
        <v>0</v>
      </c>
      <c r="Z447" s="9">
        <f t="shared" si="33"/>
        <v>0</v>
      </c>
      <c r="AD447" s="9">
        <f t="shared" si="34"/>
        <v>0</v>
      </c>
    </row>
    <row r="448" spans="1:30" x14ac:dyDescent="0.4">
      <c r="A448"/>
      <c r="B448" s="9" t="str">
        <f t="shared" ca="1" si="30"/>
        <v/>
      </c>
      <c r="C448" t="str">
        <f t="shared" si="31"/>
        <v/>
      </c>
      <c r="T448" s="9">
        <f t="shared" si="32"/>
        <v>0</v>
      </c>
      <c r="Z448" s="9">
        <f t="shared" si="33"/>
        <v>0</v>
      </c>
      <c r="AD448" s="9">
        <f t="shared" si="34"/>
        <v>0</v>
      </c>
    </row>
    <row r="449" spans="1:30" x14ac:dyDescent="0.4">
      <c r="A449"/>
      <c r="B449" s="9" t="str">
        <f t="shared" ca="1" si="30"/>
        <v/>
      </c>
      <c r="C449" t="str">
        <f t="shared" si="31"/>
        <v/>
      </c>
      <c r="T449" s="9">
        <f t="shared" si="32"/>
        <v>0</v>
      </c>
      <c r="Z449" s="9">
        <f t="shared" si="33"/>
        <v>0</v>
      </c>
      <c r="AD449" s="9">
        <f t="shared" si="34"/>
        <v>0</v>
      </c>
    </row>
    <row r="450" spans="1:30" x14ac:dyDescent="0.4">
      <c r="A450"/>
      <c r="B450" s="9" t="str">
        <f t="shared" ca="1" si="30"/>
        <v/>
      </c>
      <c r="C450" t="str">
        <f t="shared" si="31"/>
        <v/>
      </c>
      <c r="T450" s="9">
        <f t="shared" si="32"/>
        <v>0</v>
      </c>
      <c r="Z450" s="9">
        <f t="shared" si="33"/>
        <v>0</v>
      </c>
      <c r="AD450" s="9">
        <f t="shared" si="34"/>
        <v>0</v>
      </c>
    </row>
    <row r="451" spans="1:30" x14ac:dyDescent="0.4">
      <c r="A451"/>
      <c r="B451" s="9" t="str">
        <f t="shared" ref="B451:B514" ca="1" si="35">TEXT(IFERROR(LOOKUP(10^8,MID(A451,ROW(INDIRECT("1:"&amp;LEN(A451)-11)),8)+0),IF(A451="","",TRIM(RIGHT(SUBSTITUTE(LEFT(A451,LEN(A451)-4),"\",REPT(" ",50)),50)))),"00000000")</f>
        <v/>
      </c>
      <c r="C451" t="str">
        <f t="shared" ref="C451:C514" si="36">IF(A451="","",$J$1&amp;"\"&amp;A451)</f>
        <v/>
      </c>
      <c r="T451" s="9">
        <f t="shared" si="32"/>
        <v>0</v>
      </c>
      <c r="Z451" s="9">
        <f t="shared" si="33"/>
        <v>0</v>
      </c>
      <c r="AD451" s="9">
        <f t="shared" si="34"/>
        <v>0</v>
      </c>
    </row>
    <row r="452" spans="1:30" x14ac:dyDescent="0.4">
      <c r="A452"/>
      <c r="B452" s="9" t="str">
        <f t="shared" ca="1" si="35"/>
        <v/>
      </c>
      <c r="C452" t="str">
        <f t="shared" si="36"/>
        <v/>
      </c>
      <c r="T452" s="9">
        <f t="shared" si="32"/>
        <v>0</v>
      </c>
      <c r="Z452" s="9">
        <f t="shared" si="33"/>
        <v>0</v>
      </c>
      <c r="AD452" s="9">
        <f t="shared" si="34"/>
        <v>0</v>
      </c>
    </row>
    <row r="453" spans="1:30" x14ac:dyDescent="0.4">
      <c r="A453"/>
      <c r="B453" s="9" t="str">
        <f t="shared" ca="1" si="35"/>
        <v/>
      </c>
      <c r="C453" t="str">
        <f t="shared" si="36"/>
        <v/>
      </c>
      <c r="T453" s="9">
        <f t="shared" si="32"/>
        <v>0</v>
      </c>
      <c r="Z453" s="9">
        <f t="shared" si="33"/>
        <v>0</v>
      </c>
      <c r="AD453" s="9">
        <f t="shared" si="34"/>
        <v>0</v>
      </c>
    </row>
    <row r="454" spans="1:30" x14ac:dyDescent="0.4">
      <c r="A454"/>
      <c r="B454" s="9" t="str">
        <f t="shared" ca="1" si="35"/>
        <v/>
      </c>
      <c r="C454" t="str">
        <f t="shared" si="36"/>
        <v/>
      </c>
      <c r="T454" s="9">
        <f t="shared" si="32"/>
        <v>0</v>
      </c>
      <c r="Z454" s="9">
        <f t="shared" si="33"/>
        <v>0</v>
      </c>
      <c r="AD454" s="9">
        <f t="shared" si="34"/>
        <v>0</v>
      </c>
    </row>
    <row r="455" spans="1:30" x14ac:dyDescent="0.4">
      <c r="A455"/>
      <c r="B455" s="9" t="str">
        <f t="shared" ca="1" si="35"/>
        <v/>
      </c>
      <c r="C455" t="str">
        <f t="shared" si="36"/>
        <v/>
      </c>
      <c r="T455" s="9">
        <f t="shared" si="32"/>
        <v>0</v>
      </c>
      <c r="Z455" s="9">
        <f t="shared" si="33"/>
        <v>0</v>
      </c>
      <c r="AD455" s="9">
        <f t="shared" si="34"/>
        <v>0</v>
      </c>
    </row>
    <row r="456" spans="1:30" x14ac:dyDescent="0.4">
      <c r="A456"/>
      <c r="B456" s="9" t="str">
        <f t="shared" ca="1" si="35"/>
        <v/>
      </c>
      <c r="C456" t="str">
        <f t="shared" si="36"/>
        <v/>
      </c>
      <c r="T456" s="9">
        <f t="shared" ref="T456:T519" si="37">(COUNTIFS(TH_TK,N456,TH_DuNo,O456,TH_DuNoNT,P456,TH_DuCo,Q456,TH_DuCoNT,R456,TH_SoLuong,S456)&gt;0)*1</f>
        <v>0</v>
      </c>
      <c r="Z456" s="9">
        <f t="shared" ref="Z456:Z519" si="38">(COUNTIFS(NV,U456,TK,V456,TongNo,W456,TongCo,X456,SoLuong,Y456)&gt;0)*1</f>
        <v>0</v>
      </c>
      <c r="AD456" s="9">
        <f t="shared" ref="AD456:AD519" si="39">COUNTIFS(ReportType,AA456,ItemCode,AB456,Amount,AC456)</f>
        <v>0</v>
      </c>
    </row>
    <row r="457" spans="1:30" x14ac:dyDescent="0.4">
      <c r="A457"/>
      <c r="B457" s="9" t="str">
        <f t="shared" ca="1" si="35"/>
        <v/>
      </c>
      <c r="C457" t="str">
        <f t="shared" si="36"/>
        <v/>
      </c>
      <c r="T457" s="9">
        <f t="shared" si="37"/>
        <v>0</v>
      </c>
      <c r="Z457" s="9">
        <f t="shared" si="38"/>
        <v>0</v>
      </c>
      <c r="AD457" s="9">
        <f t="shared" si="39"/>
        <v>0</v>
      </c>
    </row>
    <row r="458" spans="1:30" x14ac:dyDescent="0.4">
      <c r="A458"/>
      <c r="B458" s="9" t="str">
        <f t="shared" ca="1" si="35"/>
        <v/>
      </c>
      <c r="C458" t="str">
        <f t="shared" si="36"/>
        <v/>
      </c>
      <c r="T458" s="9">
        <f t="shared" si="37"/>
        <v>0</v>
      </c>
      <c r="Z458" s="9">
        <f t="shared" si="38"/>
        <v>0</v>
      </c>
      <c r="AD458" s="9">
        <f t="shared" si="39"/>
        <v>0</v>
      </c>
    </row>
    <row r="459" spans="1:30" x14ac:dyDescent="0.4">
      <c r="A459"/>
      <c r="B459" s="9" t="str">
        <f t="shared" ca="1" si="35"/>
        <v/>
      </c>
      <c r="C459" t="str">
        <f t="shared" si="36"/>
        <v/>
      </c>
      <c r="T459" s="9">
        <f t="shared" si="37"/>
        <v>0</v>
      </c>
      <c r="Z459" s="9">
        <f t="shared" si="38"/>
        <v>0</v>
      </c>
      <c r="AD459" s="9">
        <f t="shared" si="39"/>
        <v>0</v>
      </c>
    </row>
    <row r="460" spans="1:30" x14ac:dyDescent="0.4">
      <c r="A460"/>
      <c r="B460" s="9" t="str">
        <f t="shared" ca="1" si="35"/>
        <v/>
      </c>
      <c r="C460" t="str">
        <f t="shared" si="36"/>
        <v/>
      </c>
      <c r="T460" s="9">
        <f t="shared" si="37"/>
        <v>0</v>
      </c>
      <c r="Z460" s="9">
        <f t="shared" si="38"/>
        <v>0</v>
      </c>
      <c r="AD460" s="9">
        <f t="shared" si="39"/>
        <v>0</v>
      </c>
    </row>
    <row r="461" spans="1:30" x14ac:dyDescent="0.4">
      <c r="A461"/>
      <c r="B461" s="9" t="str">
        <f t="shared" ca="1" si="35"/>
        <v/>
      </c>
      <c r="C461" t="str">
        <f t="shared" si="36"/>
        <v/>
      </c>
      <c r="T461" s="9">
        <f t="shared" si="37"/>
        <v>0</v>
      </c>
      <c r="Z461" s="9">
        <f t="shared" si="38"/>
        <v>0</v>
      </c>
      <c r="AD461" s="9">
        <f t="shared" si="39"/>
        <v>0</v>
      </c>
    </row>
    <row r="462" spans="1:30" x14ac:dyDescent="0.4">
      <c r="A462"/>
      <c r="B462" s="9" t="str">
        <f t="shared" ca="1" si="35"/>
        <v/>
      </c>
      <c r="C462" t="str">
        <f t="shared" si="36"/>
        <v/>
      </c>
      <c r="T462" s="9">
        <f t="shared" si="37"/>
        <v>0</v>
      </c>
      <c r="Z462" s="9">
        <f t="shared" si="38"/>
        <v>0</v>
      </c>
      <c r="AD462" s="9">
        <f t="shared" si="39"/>
        <v>0</v>
      </c>
    </row>
    <row r="463" spans="1:30" x14ac:dyDescent="0.4">
      <c r="A463"/>
      <c r="B463" s="9" t="str">
        <f t="shared" ca="1" si="35"/>
        <v/>
      </c>
      <c r="C463" t="str">
        <f t="shared" si="36"/>
        <v/>
      </c>
      <c r="T463" s="9">
        <f t="shared" si="37"/>
        <v>0</v>
      </c>
      <c r="Z463" s="9">
        <f t="shared" si="38"/>
        <v>0</v>
      </c>
      <c r="AD463" s="9">
        <f t="shared" si="39"/>
        <v>0</v>
      </c>
    </row>
    <row r="464" spans="1:30" x14ac:dyDescent="0.4">
      <c r="A464"/>
      <c r="B464" s="9" t="str">
        <f t="shared" ca="1" si="35"/>
        <v/>
      </c>
      <c r="C464" t="str">
        <f t="shared" si="36"/>
        <v/>
      </c>
      <c r="T464" s="9">
        <f t="shared" si="37"/>
        <v>0</v>
      </c>
      <c r="Z464" s="9">
        <f t="shared" si="38"/>
        <v>0</v>
      </c>
      <c r="AD464" s="9">
        <f t="shared" si="39"/>
        <v>0</v>
      </c>
    </row>
    <row r="465" spans="1:30" x14ac:dyDescent="0.4">
      <c r="A465"/>
      <c r="B465" s="9" t="str">
        <f t="shared" ca="1" si="35"/>
        <v/>
      </c>
      <c r="C465" t="str">
        <f t="shared" si="36"/>
        <v/>
      </c>
      <c r="T465" s="9">
        <f t="shared" si="37"/>
        <v>0</v>
      </c>
      <c r="Z465" s="9">
        <f t="shared" si="38"/>
        <v>0</v>
      </c>
      <c r="AD465" s="9">
        <f t="shared" si="39"/>
        <v>0</v>
      </c>
    </row>
    <row r="466" spans="1:30" x14ac:dyDescent="0.4">
      <c r="A466"/>
      <c r="B466" s="9" t="str">
        <f t="shared" ca="1" si="35"/>
        <v/>
      </c>
      <c r="C466" t="str">
        <f t="shared" si="36"/>
        <v/>
      </c>
      <c r="T466" s="9">
        <f t="shared" si="37"/>
        <v>0</v>
      </c>
      <c r="Z466" s="9">
        <f t="shared" si="38"/>
        <v>0</v>
      </c>
      <c r="AD466" s="9">
        <f t="shared" si="39"/>
        <v>0</v>
      </c>
    </row>
    <row r="467" spans="1:30" x14ac:dyDescent="0.4">
      <c r="A467"/>
      <c r="B467" s="9" t="str">
        <f t="shared" ca="1" si="35"/>
        <v/>
      </c>
      <c r="C467" t="str">
        <f t="shared" si="36"/>
        <v/>
      </c>
      <c r="T467" s="9">
        <f t="shared" si="37"/>
        <v>0</v>
      </c>
      <c r="Z467" s="9">
        <f t="shared" si="38"/>
        <v>0</v>
      </c>
      <c r="AD467" s="9">
        <f t="shared" si="39"/>
        <v>0</v>
      </c>
    </row>
    <row r="468" spans="1:30" x14ac:dyDescent="0.4">
      <c r="A468"/>
      <c r="B468" s="9" t="str">
        <f t="shared" ca="1" si="35"/>
        <v/>
      </c>
      <c r="C468" t="str">
        <f t="shared" si="36"/>
        <v/>
      </c>
      <c r="T468" s="9">
        <f t="shared" si="37"/>
        <v>0</v>
      </c>
      <c r="Z468" s="9">
        <f t="shared" si="38"/>
        <v>0</v>
      </c>
      <c r="AD468" s="9">
        <f t="shared" si="39"/>
        <v>0</v>
      </c>
    </row>
    <row r="469" spans="1:30" x14ac:dyDescent="0.4">
      <c r="A469"/>
      <c r="B469" s="9" t="str">
        <f t="shared" ca="1" si="35"/>
        <v/>
      </c>
      <c r="C469" t="str">
        <f t="shared" si="36"/>
        <v/>
      </c>
      <c r="T469" s="9">
        <f t="shared" si="37"/>
        <v>0</v>
      </c>
      <c r="Z469" s="9">
        <f t="shared" si="38"/>
        <v>0</v>
      </c>
      <c r="AD469" s="9">
        <f t="shared" si="39"/>
        <v>0</v>
      </c>
    </row>
    <row r="470" spans="1:30" x14ac:dyDescent="0.4">
      <c r="A470"/>
      <c r="B470" s="9" t="str">
        <f t="shared" ca="1" si="35"/>
        <v/>
      </c>
      <c r="C470" t="str">
        <f t="shared" si="36"/>
        <v/>
      </c>
      <c r="T470" s="9">
        <f t="shared" si="37"/>
        <v>0</v>
      </c>
      <c r="Z470" s="9">
        <f t="shared" si="38"/>
        <v>0</v>
      </c>
      <c r="AD470" s="9">
        <f t="shared" si="39"/>
        <v>0</v>
      </c>
    </row>
    <row r="471" spans="1:30" x14ac:dyDescent="0.4">
      <c r="A471"/>
      <c r="B471" s="9" t="str">
        <f t="shared" ca="1" si="35"/>
        <v/>
      </c>
      <c r="C471" t="str">
        <f t="shared" si="36"/>
        <v/>
      </c>
      <c r="T471" s="9">
        <f t="shared" si="37"/>
        <v>0</v>
      </c>
      <c r="Z471" s="9">
        <f t="shared" si="38"/>
        <v>0</v>
      </c>
      <c r="AD471" s="9">
        <f t="shared" si="39"/>
        <v>0</v>
      </c>
    </row>
    <row r="472" spans="1:30" x14ac:dyDescent="0.4">
      <c r="A472"/>
      <c r="B472" s="9" t="str">
        <f t="shared" ca="1" si="35"/>
        <v/>
      </c>
      <c r="C472" t="str">
        <f t="shared" si="36"/>
        <v/>
      </c>
      <c r="T472" s="9">
        <f t="shared" si="37"/>
        <v>0</v>
      </c>
      <c r="Z472" s="9">
        <f t="shared" si="38"/>
        <v>0</v>
      </c>
      <c r="AD472" s="9">
        <f t="shared" si="39"/>
        <v>0</v>
      </c>
    </row>
    <row r="473" spans="1:30" x14ac:dyDescent="0.4">
      <c r="A473"/>
      <c r="B473" s="9" t="str">
        <f t="shared" ca="1" si="35"/>
        <v/>
      </c>
      <c r="C473" t="str">
        <f t="shared" si="36"/>
        <v/>
      </c>
      <c r="T473" s="9">
        <f t="shared" si="37"/>
        <v>0</v>
      </c>
      <c r="Z473" s="9">
        <f t="shared" si="38"/>
        <v>0</v>
      </c>
      <c r="AD473" s="9">
        <f t="shared" si="39"/>
        <v>0</v>
      </c>
    </row>
    <row r="474" spans="1:30" x14ac:dyDescent="0.4">
      <c r="A474"/>
      <c r="B474" s="9" t="str">
        <f t="shared" ca="1" si="35"/>
        <v/>
      </c>
      <c r="C474" t="str">
        <f t="shared" si="36"/>
        <v/>
      </c>
      <c r="T474" s="9">
        <f t="shared" si="37"/>
        <v>0</v>
      </c>
      <c r="Z474" s="9">
        <f t="shared" si="38"/>
        <v>0</v>
      </c>
      <c r="AD474" s="9">
        <f t="shared" si="39"/>
        <v>0</v>
      </c>
    </row>
    <row r="475" spans="1:30" x14ac:dyDescent="0.4">
      <c r="A475"/>
      <c r="B475" s="9" t="str">
        <f t="shared" ca="1" si="35"/>
        <v/>
      </c>
      <c r="C475" t="str">
        <f t="shared" si="36"/>
        <v/>
      </c>
      <c r="T475" s="9">
        <f t="shared" si="37"/>
        <v>0</v>
      </c>
      <c r="Z475" s="9">
        <f t="shared" si="38"/>
        <v>0</v>
      </c>
      <c r="AD475" s="9">
        <f t="shared" si="39"/>
        <v>0</v>
      </c>
    </row>
    <row r="476" spans="1:30" x14ac:dyDescent="0.4">
      <c r="A476"/>
      <c r="B476" s="9" t="str">
        <f t="shared" ca="1" si="35"/>
        <v/>
      </c>
      <c r="C476" t="str">
        <f t="shared" si="36"/>
        <v/>
      </c>
      <c r="T476" s="9">
        <f t="shared" si="37"/>
        <v>0</v>
      </c>
      <c r="Z476" s="9">
        <f t="shared" si="38"/>
        <v>0</v>
      </c>
      <c r="AD476" s="9">
        <f t="shared" si="39"/>
        <v>0</v>
      </c>
    </row>
    <row r="477" spans="1:30" x14ac:dyDescent="0.4">
      <c r="A477"/>
      <c r="B477" s="9" t="str">
        <f t="shared" ca="1" si="35"/>
        <v/>
      </c>
      <c r="C477" t="str">
        <f t="shared" si="36"/>
        <v/>
      </c>
      <c r="T477" s="9">
        <f t="shared" si="37"/>
        <v>0</v>
      </c>
      <c r="Z477" s="9">
        <f t="shared" si="38"/>
        <v>0</v>
      </c>
      <c r="AD477" s="9">
        <f t="shared" si="39"/>
        <v>0</v>
      </c>
    </row>
    <row r="478" spans="1:30" x14ac:dyDescent="0.4">
      <c r="A478"/>
      <c r="B478" s="9" t="str">
        <f t="shared" ca="1" si="35"/>
        <v/>
      </c>
      <c r="C478" t="str">
        <f t="shared" si="36"/>
        <v/>
      </c>
      <c r="T478" s="9">
        <f t="shared" si="37"/>
        <v>0</v>
      </c>
      <c r="Z478" s="9">
        <f t="shared" si="38"/>
        <v>0</v>
      </c>
      <c r="AD478" s="9">
        <f t="shared" si="39"/>
        <v>0</v>
      </c>
    </row>
    <row r="479" spans="1:30" x14ac:dyDescent="0.4">
      <c r="A479"/>
      <c r="B479" s="9" t="str">
        <f t="shared" ca="1" si="35"/>
        <v/>
      </c>
      <c r="C479" t="str">
        <f t="shared" si="36"/>
        <v/>
      </c>
      <c r="T479" s="9">
        <f t="shared" si="37"/>
        <v>0</v>
      </c>
      <c r="Z479" s="9">
        <f t="shared" si="38"/>
        <v>0</v>
      </c>
      <c r="AD479" s="9">
        <f t="shared" si="39"/>
        <v>0</v>
      </c>
    </row>
    <row r="480" spans="1:30" x14ac:dyDescent="0.4">
      <c r="A480"/>
      <c r="B480" s="9" t="str">
        <f t="shared" ca="1" si="35"/>
        <v/>
      </c>
      <c r="C480" t="str">
        <f t="shared" si="36"/>
        <v/>
      </c>
      <c r="T480" s="9">
        <f t="shared" si="37"/>
        <v>0</v>
      </c>
      <c r="Z480" s="9">
        <f t="shared" si="38"/>
        <v>0</v>
      </c>
      <c r="AD480" s="9">
        <f t="shared" si="39"/>
        <v>0</v>
      </c>
    </row>
    <row r="481" spans="1:30" x14ac:dyDescent="0.4">
      <c r="A481"/>
      <c r="B481" s="9" t="str">
        <f t="shared" ca="1" si="35"/>
        <v/>
      </c>
      <c r="C481" t="str">
        <f t="shared" si="36"/>
        <v/>
      </c>
      <c r="T481" s="9">
        <f t="shared" si="37"/>
        <v>0</v>
      </c>
      <c r="Z481" s="9">
        <f t="shared" si="38"/>
        <v>0</v>
      </c>
      <c r="AD481" s="9">
        <f t="shared" si="39"/>
        <v>0</v>
      </c>
    </row>
    <row r="482" spans="1:30" x14ac:dyDescent="0.4">
      <c r="A482"/>
      <c r="B482" s="9" t="str">
        <f t="shared" ca="1" si="35"/>
        <v/>
      </c>
      <c r="C482" t="str">
        <f t="shared" si="36"/>
        <v/>
      </c>
      <c r="T482" s="9">
        <f t="shared" si="37"/>
        <v>0</v>
      </c>
      <c r="Z482" s="9">
        <f t="shared" si="38"/>
        <v>0</v>
      </c>
      <c r="AD482" s="9">
        <f t="shared" si="39"/>
        <v>0</v>
      </c>
    </row>
    <row r="483" spans="1:30" x14ac:dyDescent="0.4">
      <c r="A483"/>
      <c r="B483" s="9" t="str">
        <f t="shared" ca="1" si="35"/>
        <v/>
      </c>
      <c r="C483" t="str">
        <f t="shared" si="36"/>
        <v/>
      </c>
      <c r="T483" s="9">
        <f t="shared" si="37"/>
        <v>0</v>
      </c>
      <c r="Z483" s="9">
        <f t="shared" si="38"/>
        <v>0</v>
      </c>
      <c r="AD483" s="9">
        <f t="shared" si="39"/>
        <v>0</v>
      </c>
    </row>
    <row r="484" spans="1:30" x14ac:dyDescent="0.4">
      <c r="A484"/>
      <c r="B484" s="9" t="str">
        <f t="shared" ca="1" si="35"/>
        <v/>
      </c>
      <c r="C484" t="str">
        <f t="shared" si="36"/>
        <v/>
      </c>
      <c r="T484" s="9">
        <f t="shared" si="37"/>
        <v>0</v>
      </c>
      <c r="Z484" s="9">
        <f t="shared" si="38"/>
        <v>0</v>
      </c>
      <c r="AD484" s="9">
        <f t="shared" si="39"/>
        <v>0</v>
      </c>
    </row>
    <row r="485" spans="1:30" x14ac:dyDescent="0.4">
      <c r="A485"/>
      <c r="B485" s="9" t="str">
        <f t="shared" ca="1" si="35"/>
        <v/>
      </c>
      <c r="C485" t="str">
        <f t="shared" si="36"/>
        <v/>
      </c>
      <c r="T485" s="9">
        <f t="shared" si="37"/>
        <v>0</v>
      </c>
      <c r="Z485" s="9">
        <f t="shared" si="38"/>
        <v>0</v>
      </c>
      <c r="AD485" s="9">
        <f t="shared" si="39"/>
        <v>0</v>
      </c>
    </row>
    <row r="486" spans="1:30" x14ac:dyDescent="0.4">
      <c r="A486"/>
      <c r="B486" s="9" t="str">
        <f t="shared" ca="1" si="35"/>
        <v/>
      </c>
      <c r="C486" t="str">
        <f t="shared" si="36"/>
        <v/>
      </c>
      <c r="T486" s="9">
        <f t="shared" si="37"/>
        <v>0</v>
      </c>
      <c r="Z486" s="9">
        <f t="shared" si="38"/>
        <v>0</v>
      </c>
      <c r="AD486" s="9">
        <f t="shared" si="39"/>
        <v>0</v>
      </c>
    </row>
    <row r="487" spans="1:30" x14ac:dyDescent="0.4">
      <c r="A487"/>
      <c r="B487" s="9" t="str">
        <f t="shared" ca="1" si="35"/>
        <v/>
      </c>
      <c r="C487" t="str">
        <f t="shared" si="36"/>
        <v/>
      </c>
      <c r="T487" s="9">
        <f t="shared" si="37"/>
        <v>0</v>
      </c>
      <c r="Z487" s="9">
        <f t="shared" si="38"/>
        <v>0</v>
      </c>
      <c r="AD487" s="9">
        <f t="shared" si="39"/>
        <v>0</v>
      </c>
    </row>
    <row r="488" spans="1:30" x14ac:dyDescent="0.4">
      <c r="A488"/>
      <c r="B488" s="9" t="str">
        <f t="shared" ca="1" si="35"/>
        <v/>
      </c>
      <c r="C488" t="str">
        <f t="shared" si="36"/>
        <v/>
      </c>
      <c r="T488" s="9">
        <f t="shared" si="37"/>
        <v>0</v>
      </c>
      <c r="Z488" s="9">
        <f t="shared" si="38"/>
        <v>0</v>
      </c>
      <c r="AD488" s="9">
        <f t="shared" si="39"/>
        <v>0</v>
      </c>
    </row>
    <row r="489" spans="1:30" x14ac:dyDescent="0.4">
      <c r="A489"/>
      <c r="B489" s="9" t="str">
        <f t="shared" ca="1" si="35"/>
        <v/>
      </c>
      <c r="C489" t="str">
        <f t="shared" si="36"/>
        <v/>
      </c>
      <c r="T489" s="9">
        <f t="shared" si="37"/>
        <v>0</v>
      </c>
      <c r="Z489" s="9">
        <f t="shared" si="38"/>
        <v>0</v>
      </c>
      <c r="AD489" s="9">
        <f t="shared" si="39"/>
        <v>0</v>
      </c>
    </row>
    <row r="490" spans="1:30" x14ac:dyDescent="0.4">
      <c r="A490"/>
      <c r="B490" s="9" t="str">
        <f t="shared" ca="1" si="35"/>
        <v/>
      </c>
      <c r="C490" t="str">
        <f t="shared" si="36"/>
        <v/>
      </c>
      <c r="T490" s="9">
        <f t="shared" si="37"/>
        <v>0</v>
      </c>
      <c r="Z490" s="9">
        <f t="shared" si="38"/>
        <v>0</v>
      </c>
      <c r="AD490" s="9">
        <f t="shared" si="39"/>
        <v>0</v>
      </c>
    </row>
    <row r="491" spans="1:30" x14ac:dyDescent="0.4">
      <c r="A491"/>
      <c r="B491" s="9" t="str">
        <f t="shared" ca="1" si="35"/>
        <v/>
      </c>
      <c r="C491" t="str">
        <f t="shared" si="36"/>
        <v/>
      </c>
      <c r="T491" s="9">
        <f t="shared" si="37"/>
        <v>0</v>
      </c>
      <c r="Z491" s="9">
        <f t="shared" si="38"/>
        <v>0</v>
      </c>
      <c r="AD491" s="9">
        <f t="shared" si="39"/>
        <v>0</v>
      </c>
    </row>
    <row r="492" spans="1:30" x14ac:dyDescent="0.4">
      <c r="A492"/>
      <c r="B492" s="9" t="str">
        <f t="shared" ca="1" si="35"/>
        <v/>
      </c>
      <c r="C492" t="str">
        <f t="shared" si="36"/>
        <v/>
      </c>
      <c r="T492" s="9">
        <f t="shared" si="37"/>
        <v>0</v>
      </c>
      <c r="Z492" s="9">
        <f t="shared" si="38"/>
        <v>0</v>
      </c>
      <c r="AD492" s="9">
        <f t="shared" si="39"/>
        <v>0</v>
      </c>
    </row>
    <row r="493" spans="1:30" x14ac:dyDescent="0.4">
      <c r="A493"/>
      <c r="B493" s="9" t="str">
        <f t="shared" ca="1" si="35"/>
        <v/>
      </c>
      <c r="C493" t="str">
        <f t="shared" si="36"/>
        <v/>
      </c>
      <c r="T493" s="9">
        <f t="shared" si="37"/>
        <v>0</v>
      </c>
      <c r="Z493" s="9">
        <f t="shared" si="38"/>
        <v>0</v>
      </c>
      <c r="AD493" s="9">
        <f t="shared" si="39"/>
        <v>0</v>
      </c>
    </row>
    <row r="494" spans="1:30" x14ac:dyDescent="0.4">
      <c r="A494"/>
      <c r="B494" s="9" t="str">
        <f t="shared" ca="1" si="35"/>
        <v/>
      </c>
      <c r="C494" t="str">
        <f t="shared" si="36"/>
        <v/>
      </c>
      <c r="T494" s="9">
        <f t="shared" si="37"/>
        <v>0</v>
      </c>
      <c r="Z494" s="9">
        <f t="shared" si="38"/>
        <v>0</v>
      </c>
      <c r="AD494" s="9">
        <f t="shared" si="39"/>
        <v>0</v>
      </c>
    </row>
    <row r="495" spans="1:30" x14ac:dyDescent="0.4">
      <c r="A495"/>
      <c r="B495" s="9" t="str">
        <f t="shared" ca="1" si="35"/>
        <v/>
      </c>
      <c r="C495" t="str">
        <f t="shared" si="36"/>
        <v/>
      </c>
      <c r="T495" s="9">
        <f t="shared" si="37"/>
        <v>0</v>
      </c>
      <c r="Z495" s="9">
        <f t="shared" si="38"/>
        <v>0</v>
      </c>
      <c r="AD495" s="9">
        <f t="shared" si="39"/>
        <v>0</v>
      </c>
    </row>
    <row r="496" spans="1:30" x14ac:dyDescent="0.4">
      <c r="A496"/>
      <c r="B496" s="9" t="str">
        <f t="shared" ca="1" si="35"/>
        <v/>
      </c>
      <c r="C496" t="str">
        <f t="shared" si="36"/>
        <v/>
      </c>
      <c r="T496" s="9">
        <f t="shared" si="37"/>
        <v>0</v>
      </c>
      <c r="Z496" s="9">
        <f t="shared" si="38"/>
        <v>0</v>
      </c>
      <c r="AD496" s="9">
        <f t="shared" si="39"/>
        <v>0</v>
      </c>
    </row>
    <row r="497" spans="1:30" x14ac:dyDescent="0.4">
      <c r="A497"/>
      <c r="B497" s="9" t="str">
        <f t="shared" ca="1" si="35"/>
        <v/>
      </c>
      <c r="C497" t="str">
        <f t="shared" si="36"/>
        <v/>
      </c>
      <c r="T497" s="9">
        <f t="shared" si="37"/>
        <v>0</v>
      </c>
      <c r="Z497" s="9">
        <f t="shared" si="38"/>
        <v>0</v>
      </c>
      <c r="AD497" s="9">
        <f t="shared" si="39"/>
        <v>0</v>
      </c>
    </row>
    <row r="498" spans="1:30" x14ac:dyDescent="0.4">
      <c r="A498"/>
      <c r="B498" s="9" t="str">
        <f t="shared" ca="1" si="35"/>
        <v/>
      </c>
      <c r="C498" t="str">
        <f t="shared" si="36"/>
        <v/>
      </c>
      <c r="T498" s="9">
        <f t="shared" si="37"/>
        <v>0</v>
      </c>
      <c r="Z498" s="9">
        <f t="shared" si="38"/>
        <v>0</v>
      </c>
      <c r="AD498" s="9">
        <f t="shared" si="39"/>
        <v>0</v>
      </c>
    </row>
    <row r="499" spans="1:30" x14ac:dyDescent="0.4">
      <c r="A499"/>
      <c r="B499" s="9" t="str">
        <f t="shared" ca="1" si="35"/>
        <v/>
      </c>
      <c r="C499" t="str">
        <f t="shared" si="36"/>
        <v/>
      </c>
      <c r="T499" s="9">
        <f t="shared" si="37"/>
        <v>0</v>
      </c>
      <c r="Z499" s="9">
        <f t="shared" si="38"/>
        <v>0</v>
      </c>
      <c r="AD499" s="9">
        <f t="shared" si="39"/>
        <v>0</v>
      </c>
    </row>
    <row r="500" spans="1:30" x14ac:dyDescent="0.4">
      <c r="A500"/>
      <c r="B500" s="9" t="str">
        <f t="shared" ca="1" si="35"/>
        <v/>
      </c>
      <c r="C500" t="str">
        <f t="shared" si="36"/>
        <v/>
      </c>
      <c r="T500" s="9">
        <f t="shared" si="37"/>
        <v>0</v>
      </c>
      <c r="Z500" s="9">
        <f t="shared" si="38"/>
        <v>0</v>
      </c>
      <c r="AD500" s="9">
        <f t="shared" si="39"/>
        <v>0</v>
      </c>
    </row>
    <row r="501" spans="1:30" x14ac:dyDescent="0.4">
      <c r="A501"/>
      <c r="B501" s="9" t="str">
        <f t="shared" ca="1" si="35"/>
        <v/>
      </c>
      <c r="C501" t="str">
        <f t="shared" si="36"/>
        <v/>
      </c>
      <c r="T501" s="9">
        <f t="shared" si="37"/>
        <v>0</v>
      </c>
      <c r="Z501" s="9">
        <f t="shared" si="38"/>
        <v>0</v>
      </c>
      <c r="AD501" s="9">
        <f t="shared" si="39"/>
        <v>0</v>
      </c>
    </row>
    <row r="502" spans="1:30" x14ac:dyDescent="0.4">
      <c r="A502"/>
      <c r="B502" s="9" t="str">
        <f t="shared" ca="1" si="35"/>
        <v/>
      </c>
      <c r="C502" t="str">
        <f t="shared" si="36"/>
        <v/>
      </c>
      <c r="T502" s="9">
        <f t="shared" si="37"/>
        <v>0</v>
      </c>
      <c r="Z502" s="9">
        <f t="shared" si="38"/>
        <v>0</v>
      </c>
      <c r="AD502" s="9">
        <f t="shared" si="39"/>
        <v>0</v>
      </c>
    </row>
    <row r="503" spans="1:30" x14ac:dyDescent="0.4">
      <c r="A503"/>
      <c r="B503" s="9" t="str">
        <f t="shared" ca="1" si="35"/>
        <v/>
      </c>
      <c r="C503" t="str">
        <f t="shared" si="36"/>
        <v/>
      </c>
      <c r="T503" s="9">
        <f t="shared" si="37"/>
        <v>0</v>
      </c>
      <c r="Z503" s="9">
        <f t="shared" si="38"/>
        <v>0</v>
      </c>
      <c r="AD503" s="9">
        <f t="shared" si="39"/>
        <v>0</v>
      </c>
    </row>
    <row r="504" spans="1:30" x14ac:dyDescent="0.4">
      <c r="A504"/>
      <c r="B504" s="9" t="str">
        <f t="shared" ca="1" si="35"/>
        <v/>
      </c>
      <c r="C504" t="str">
        <f t="shared" si="36"/>
        <v/>
      </c>
      <c r="T504" s="9">
        <f t="shared" si="37"/>
        <v>0</v>
      </c>
      <c r="Z504" s="9">
        <f t="shared" si="38"/>
        <v>0</v>
      </c>
      <c r="AD504" s="9">
        <f t="shared" si="39"/>
        <v>0</v>
      </c>
    </row>
    <row r="505" spans="1:30" x14ac:dyDescent="0.4">
      <c r="A505"/>
      <c r="B505" s="9" t="str">
        <f t="shared" ca="1" si="35"/>
        <v/>
      </c>
      <c r="C505" t="str">
        <f t="shared" si="36"/>
        <v/>
      </c>
      <c r="T505" s="9">
        <f t="shared" si="37"/>
        <v>0</v>
      </c>
      <c r="Z505" s="9">
        <f t="shared" si="38"/>
        <v>0</v>
      </c>
      <c r="AD505" s="9">
        <f t="shared" si="39"/>
        <v>0</v>
      </c>
    </row>
    <row r="506" spans="1:30" x14ac:dyDescent="0.4">
      <c r="A506"/>
      <c r="B506" s="9" t="str">
        <f t="shared" ca="1" si="35"/>
        <v/>
      </c>
      <c r="C506" t="str">
        <f t="shared" si="36"/>
        <v/>
      </c>
      <c r="T506" s="9">
        <f t="shared" si="37"/>
        <v>0</v>
      </c>
      <c r="Z506" s="9">
        <f t="shared" si="38"/>
        <v>0</v>
      </c>
      <c r="AD506" s="9">
        <f t="shared" si="39"/>
        <v>0</v>
      </c>
    </row>
    <row r="507" spans="1:30" x14ac:dyDescent="0.4">
      <c r="A507"/>
      <c r="B507" s="9" t="str">
        <f t="shared" ca="1" si="35"/>
        <v/>
      </c>
      <c r="C507" t="str">
        <f t="shared" si="36"/>
        <v/>
      </c>
      <c r="T507" s="9">
        <f t="shared" si="37"/>
        <v>0</v>
      </c>
      <c r="Z507" s="9">
        <f t="shared" si="38"/>
        <v>0</v>
      </c>
      <c r="AD507" s="9">
        <f t="shared" si="39"/>
        <v>0</v>
      </c>
    </row>
    <row r="508" spans="1:30" x14ac:dyDescent="0.4">
      <c r="A508"/>
      <c r="B508" s="9" t="str">
        <f t="shared" ca="1" si="35"/>
        <v/>
      </c>
      <c r="C508" t="str">
        <f t="shared" si="36"/>
        <v/>
      </c>
      <c r="T508" s="9">
        <f t="shared" si="37"/>
        <v>0</v>
      </c>
      <c r="Z508" s="9">
        <f t="shared" si="38"/>
        <v>0</v>
      </c>
      <c r="AD508" s="9">
        <f t="shared" si="39"/>
        <v>0</v>
      </c>
    </row>
    <row r="509" spans="1:30" x14ac:dyDescent="0.4">
      <c r="A509"/>
      <c r="B509" s="9" t="str">
        <f t="shared" ca="1" si="35"/>
        <v/>
      </c>
      <c r="C509" t="str">
        <f t="shared" si="36"/>
        <v/>
      </c>
      <c r="T509" s="9">
        <f t="shared" si="37"/>
        <v>0</v>
      </c>
      <c r="Z509" s="9">
        <f t="shared" si="38"/>
        <v>0</v>
      </c>
      <c r="AD509" s="9">
        <f t="shared" si="39"/>
        <v>0</v>
      </c>
    </row>
    <row r="510" spans="1:30" x14ac:dyDescent="0.4">
      <c r="A510"/>
      <c r="B510" s="9" t="str">
        <f t="shared" ca="1" si="35"/>
        <v/>
      </c>
      <c r="C510" t="str">
        <f t="shared" si="36"/>
        <v/>
      </c>
      <c r="T510" s="9">
        <f t="shared" si="37"/>
        <v>0</v>
      </c>
      <c r="Z510" s="9">
        <f t="shared" si="38"/>
        <v>0</v>
      </c>
      <c r="AD510" s="9">
        <f t="shared" si="39"/>
        <v>0</v>
      </c>
    </row>
    <row r="511" spans="1:30" x14ac:dyDescent="0.4">
      <c r="A511"/>
      <c r="B511" s="9" t="str">
        <f t="shared" ca="1" si="35"/>
        <v/>
      </c>
      <c r="C511" t="str">
        <f t="shared" si="36"/>
        <v/>
      </c>
      <c r="T511" s="9">
        <f t="shared" si="37"/>
        <v>0</v>
      </c>
      <c r="Z511" s="9">
        <f t="shared" si="38"/>
        <v>0</v>
      </c>
      <c r="AD511" s="9">
        <f t="shared" si="39"/>
        <v>0</v>
      </c>
    </row>
    <row r="512" spans="1:30" x14ac:dyDescent="0.4">
      <c r="A512"/>
      <c r="B512" s="9" t="str">
        <f t="shared" ca="1" si="35"/>
        <v/>
      </c>
      <c r="C512" t="str">
        <f t="shared" si="36"/>
        <v/>
      </c>
      <c r="T512" s="9">
        <f t="shared" si="37"/>
        <v>0</v>
      </c>
      <c r="Z512" s="9">
        <f t="shared" si="38"/>
        <v>0</v>
      </c>
      <c r="AD512" s="9">
        <f t="shared" si="39"/>
        <v>0</v>
      </c>
    </row>
    <row r="513" spans="1:30" x14ac:dyDescent="0.4">
      <c r="A513"/>
      <c r="B513" s="9" t="str">
        <f t="shared" ca="1" si="35"/>
        <v/>
      </c>
      <c r="C513" t="str">
        <f t="shared" si="36"/>
        <v/>
      </c>
      <c r="T513" s="9">
        <f t="shared" si="37"/>
        <v>0</v>
      </c>
      <c r="Z513" s="9">
        <f t="shared" si="38"/>
        <v>0</v>
      </c>
      <c r="AD513" s="9">
        <f t="shared" si="39"/>
        <v>0</v>
      </c>
    </row>
    <row r="514" spans="1:30" x14ac:dyDescent="0.4">
      <c r="A514"/>
      <c r="B514" s="9" t="str">
        <f t="shared" ca="1" si="35"/>
        <v/>
      </c>
      <c r="C514" t="str">
        <f t="shared" si="36"/>
        <v/>
      </c>
      <c r="T514" s="9">
        <f t="shared" si="37"/>
        <v>0</v>
      </c>
      <c r="Z514" s="9">
        <f t="shared" si="38"/>
        <v>0</v>
      </c>
      <c r="AD514" s="9">
        <f t="shared" si="39"/>
        <v>0</v>
      </c>
    </row>
    <row r="515" spans="1:30" x14ac:dyDescent="0.4">
      <c r="A515"/>
      <c r="B515" s="9" t="str">
        <f t="shared" ref="B515:B578" ca="1" si="40">TEXT(IFERROR(LOOKUP(10^8,MID(A515,ROW(INDIRECT("1:"&amp;LEN(A515)-11)),8)+0),IF(A515="","",TRIM(RIGHT(SUBSTITUTE(LEFT(A515,LEN(A515)-4),"\",REPT(" ",50)),50)))),"00000000")</f>
        <v/>
      </c>
      <c r="C515" t="str">
        <f t="shared" ref="C515:C578" si="41">IF(A515="","",$J$1&amp;"\"&amp;A515)</f>
        <v/>
      </c>
      <c r="T515" s="9">
        <f t="shared" si="37"/>
        <v>0</v>
      </c>
      <c r="Z515" s="9">
        <f t="shared" si="38"/>
        <v>0</v>
      </c>
      <c r="AD515" s="9">
        <f t="shared" si="39"/>
        <v>0</v>
      </c>
    </row>
    <row r="516" spans="1:30" x14ac:dyDescent="0.4">
      <c r="A516"/>
      <c r="B516" s="9" t="str">
        <f t="shared" ca="1" si="40"/>
        <v/>
      </c>
      <c r="C516" t="str">
        <f t="shared" si="41"/>
        <v/>
      </c>
      <c r="T516" s="9">
        <f t="shared" si="37"/>
        <v>0</v>
      </c>
      <c r="Z516" s="9">
        <f t="shared" si="38"/>
        <v>0</v>
      </c>
      <c r="AD516" s="9">
        <f t="shared" si="39"/>
        <v>0</v>
      </c>
    </row>
    <row r="517" spans="1:30" x14ac:dyDescent="0.4">
      <c r="A517"/>
      <c r="B517" s="9" t="str">
        <f t="shared" ca="1" si="40"/>
        <v/>
      </c>
      <c r="C517" t="str">
        <f t="shared" si="41"/>
        <v/>
      </c>
      <c r="T517" s="9">
        <f t="shared" si="37"/>
        <v>0</v>
      </c>
      <c r="Z517" s="9">
        <f t="shared" si="38"/>
        <v>0</v>
      </c>
      <c r="AD517" s="9">
        <f t="shared" si="39"/>
        <v>0</v>
      </c>
    </row>
    <row r="518" spans="1:30" x14ac:dyDescent="0.4">
      <c r="A518"/>
      <c r="B518" s="9" t="str">
        <f t="shared" ca="1" si="40"/>
        <v/>
      </c>
      <c r="C518" t="str">
        <f t="shared" si="41"/>
        <v/>
      </c>
      <c r="T518" s="9">
        <f t="shared" si="37"/>
        <v>0</v>
      </c>
      <c r="Z518" s="9">
        <f t="shared" si="38"/>
        <v>0</v>
      </c>
      <c r="AD518" s="9">
        <f t="shared" si="39"/>
        <v>0</v>
      </c>
    </row>
    <row r="519" spans="1:30" x14ac:dyDescent="0.4">
      <c r="A519"/>
      <c r="B519" s="9" t="str">
        <f t="shared" ca="1" si="40"/>
        <v/>
      </c>
      <c r="C519" t="str">
        <f t="shared" si="41"/>
        <v/>
      </c>
      <c r="T519" s="9">
        <f t="shared" si="37"/>
        <v>0</v>
      </c>
      <c r="Z519" s="9">
        <f t="shared" si="38"/>
        <v>0</v>
      </c>
      <c r="AD519" s="9">
        <f t="shared" si="39"/>
        <v>0</v>
      </c>
    </row>
    <row r="520" spans="1:30" x14ac:dyDescent="0.4">
      <c r="A520"/>
      <c r="B520" s="9" t="str">
        <f t="shared" ca="1" si="40"/>
        <v/>
      </c>
      <c r="C520" t="str">
        <f t="shared" si="41"/>
        <v/>
      </c>
      <c r="T520" s="9">
        <f t="shared" ref="T520:T583" si="42">(COUNTIFS(TH_TK,N520,TH_DuNo,O520,TH_DuNoNT,P520,TH_DuCo,Q520,TH_DuCoNT,R520,TH_SoLuong,S520)&gt;0)*1</f>
        <v>0</v>
      </c>
      <c r="Z520" s="9">
        <f t="shared" ref="Z520:Z583" si="43">(COUNTIFS(NV,U520,TK,V520,TongNo,W520,TongCo,X520,SoLuong,Y520)&gt;0)*1</f>
        <v>0</v>
      </c>
      <c r="AD520" s="9">
        <f t="shared" ref="AD520:AD583" si="44">COUNTIFS(ReportType,AA520,ItemCode,AB520,Amount,AC520)</f>
        <v>0</v>
      </c>
    </row>
    <row r="521" spans="1:30" x14ac:dyDescent="0.4">
      <c r="A521"/>
      <c r="B521" s="9" t="str">
        <f t="shared" ca="1" si="40"/>
        <v/>
      </c>
      <c r="C521" t="str">
        <f t="shared" si="41"/>
        <v/>
      </c>
      <c r="T521" s="9">
        <f t="shared" si="42"/>
        <v>0</v>
      </c>
      <c r="Z521" s="9">
        <f t="shared" si="43"/>
        <v>0</v>
      </c>
      <c r="AD521" s="9">
        <f t="shared" si="44"/>
        <v>0</v>
      </c>
    </row>
    <row r="522" spans="1:30" x14ac:dyDescent="0.4">
      <c r="A522"/>
      <c r="B522" s="9" t="str">
        <f t="shared" ca="1" si="40"/>
        <v/>
      </c>
      <c r="C522" t="str">
        <f t="shared" si="41"/>
        <v/>
      </c>
      <c r="T522" s="9">
        <f t="shared" si="42"/>
        <v>0</v>
      </c>
      <c r="Z522" s="9">
        <f t="shared" si="43"/>
        <v>0</v>
      </c>
      <c r="AD522" s="9">
        <f t="shared" si="44"/>
        <v>0</v>
      </c>
    </row>
    <row r="523" spans="1:30" x14ac:dyDescent="0.4">
      <c r="A523"/>
      <c r="B523" s="9" t="str">
        <f t="shared" ca="1" si="40"/>
        <v/>
      </c>
      <c r="C523" t="str">
        <f t="shared" si="41"/>
        <v/>
      </c>
      <c r="T523" s="9">
        <f t="shared" si="42"/>
        <v>0</v>
      </c>
      <c r="Z523" s="9">
        <f t="shared" si="43"/>
        <v>0</v>
      </c>
      <c r="AD523" s="9">
        <f t="shared" si="44"/>
        <v>0</v>
      </c>
    </row>
    <row r="524" spans="1:30" x14ac:dyDescent="0.4">
      <c r="A524"/>
      <c r="B524" s="9" t="str">
        <f t="shared" ca="1" si="40"/>
        <v/>
      </c>
      <c r="C524" t="str">
        <f t="shared" si="41"/>
        <v/>
      </c>
      <c r="T524" s="9">
        <f t="shared" si="42"/>
        <v>0</v>
      </c>
      <c r="Z524" s="9">
        <f t="shared" si="43"/>
        <v>0</v>
      </c>
      <c r="AD524" s="9">
        <f t="shared" si="44"/>
        <v>0</v>
      </c>
    </row>
    <row r="525" spans="1:30" x14ac:dyDescent="0.4">
      <c r="A525"/>
      <c r="B525" s="9" t="str">
        <f t="shared" ca="1" si="40"/>
        <v/>
      </c>
      <c r="C525" t="str">
        <f t="shared" si="41"/>
        <v/>
      </c>
      <c r="T525" s="9">
        <f t="shared" si="42"/>
        <v>0</v>
      </c>
      <c r="Z525" s="9">
        <f t="shared" si="43"/>
        <v>0</v>
      </c>
      <c r="AD525" s="9">
        <f t="shared" si="44"/>
        <v>0</v>
      </c>
    </row>
    <row r="526" spans="1:30" x14ac:dyDescent="0.4">
      <c r="A526"/>
      <c r="B526" s="9" t="str">
        <f t="shared" ca="1" si="40"/>
        <v/>
      </c>
      <c r="C526" t="str">
        <f t="shared" si="41"/>
        <v/>
      </c>
      <c r="T526" s="9">
        <f t="shared" si="42"/>
        <v>0</v>
      </c>
      <c r="Z526" s="9">
        <f t="shared" si="43"/>
        <v>0</v>
      </c>
      <c r="AD526" s="9">
        <f t="shared" si="44"/>
        <v>0</v>
      </c>
    </row>
    <row r="527" spans="1:30" x14ac:dyDescent="0.4">
      <c r="A527"/>
      <c r="B527" s="9" t="str">
        <f t="shared" ca="1" si="40"/>
        <v/>
      </c>
      <c r="C527" t="str">
        <f t="shared" si="41"/>
        <v/>
      </c>
      <c r="T527" s="9">
        <f t="shared" si="42"/>
        <v>0</v>
      </c>
      <c r="Z527" s="9">
        <f t="shared" si="43"/>
        <v>0</v>
      </c>
      <c r="AD527" s="9">
        <f t="shared" si="44"/>
        <v>0</v>
      </c>
    </row>
    <row r="528" spans="1:30" x14ac:dyDescent="0.4">
      <c r="A528"/>
      <c r="B528" s="9" t="str">
        <f t="shared" ca="1" si="40"/>
        <v/>
      </c>
      <c r="C528" t="str">
        <f t="shared" si="41"/>
        <v/>
      </c>
      <c r="T528" s="9">
        <f t="shared" si="42"/>
        <v>0</v>
      </c>
      <c r="Z528" s="9">
        <f t="shared" si="43"/>
        <v>0</v>
      </c>
      <c r="AD528" s="9">
        <f t="shared" si="44"/>
        <v>0</v>
      </c>
    </row>
    <row r="529" spans="1:30" x14ac:dyDescent="0.4">
      <c r="A529"/>
      <c r="B529" s="9" t="str">
        <f t="shared" ca="1" si="40"/>
        <v/>
      </c>
      <c r="C529" t="str">
        <f t="shared" si="41"/>
        <v/>
      </c>
      <c r="T529" s="9">
        <f t="shared" si="42"/>
        <v>0</v>
      </c>
      <c r="Z529" s="9">
        <f t="shared" si="43"/>
        <v>0</v>
      </c>
      <c r="AD529" s="9">
        <f t="shared" si="44"/>
        <v>0</v>
      </c>
    </row>
    <row r="530" spans="1:30" x14ac:dyDescent="0.4">
      <c r="A530"/>
      <c r="B530" s="9" t="str">
        <f t="shared" ca="1" si="40"/>
        <v/>
      </c>
      <c r="C530" t="str">
        <f t="shared" si="41"/>
        <v/>
      </c>
      <c r="T530" s="9">
        <f t="shared" si="42"/>
        <v>0</v>
      </c>
      <c r="Z530" s="9">
        <f t="shared" si="43"/>
        <v>0</v>
      </c>
      <c r="AD530" s="9">
        <f t="shared" si="44"/>
        <v>0</v>
      </c>
    </row>
    <row r="531" spans="1:30" x14ac:dyDescent="0.4">
      <c r="A531"/>
      <c r="B531" s="9" t="str">
        <f t="shared" ca="1" si="40"/>
        <v/>
      </c>
      <c r="C531" t="str">
        <f t="shared" si="41"/>
        <v/>
      </c>
      <c r="T531" s="9">
        <f t="shared" si="42"/>
        <v>0</v>
      </c>
      <c r="Z531" s="9">
        <f t="shared" si="43"/>
        <v>0</v>
      </c>
      <c r="AD531" s="9">
        <f t="shared" si="44"/>
        <v>0</v>
      </c>
    </row>
    <row r="532" spans="1:30" x14ac:dyDescent="0.4">
      <c r="A532"/>
      <c r="B532" s="9" t="str">
        <f t="shared" ca="1" si="40"/>
        <v/>
      </c>
      <c r="C532" t="str">
        <f t="shared" si="41"/>
        <v/>
      </c>
      <c r="T532" s="9">
        <f t="shared" si="42"/>
        <v>0</v>
      </c>
      <c r="Z532" s="9">
        <f t="shared" si="43"/>
        <v>0</v>
      </c>
      <c r="AD532" s="9">
        <f t="shared" si="44"/>
        <v>0</v>
      </c>
    </row>
    <row r="533" spans="1:30" x14ac:dyDescent="0.4">
      <c r="A533"/>
      <c r="B533" s="9" t="str">
        <f t="shared" ca="1" si="40"/>
        <v/>
      </c>
      <c r="C533" t="str">
        <f t="shared" si="41"/>
        <v/>
      </c>
      <c r="T533" s="9">
        <f t="shared" si="42"/>
        <v>0</v>
      </c>
      <c r="Z533" s="9">
        <f t="shared" si="43"/>
        <v>0</v>
      </c>
      <c r="AD533" s="9">
        <f t="shared" si="44"/>
        <v>0</v>
      </c>
    </row>
    <row r="534" spans="1:30" x14ac:dyDescent="0.4">
      <c r="A534"/>
      <c r="B534" s="9" t="str">
        <f t="shared" ca="1" si="40"/>
        <v/>
      </c>
      <c r="C534" t="str">
        <f t="shared" si="41"/>
        <v/>
      </c>
      <c r="T534" s="9">
        <f t="shared" si="42"/>
        <v>0</v>
      </c>
      <c r="Z534" s="9">
        <f t="shared" si="43"/>
        <v>0</v>
      </c>
      <c r="AD534" s="9">
        <f t="shared" si="44"/>
        <v>0</v>
      </c>
    </row>
    <row r="535" spans="1:30" x14ac:dyDescent="0.4">
      <c r="A535"/>
      <c r="B535" s="9" t="str">
        <f t="shared" ca="1" si="40"/>
        <v/>
      </c>
      <c r="C535" t="str">
        <f t="shared" si="41"/>
        <v/>
      </c>
      <c r="T535" s="9">
        <f t="shared" si="42"/>
        <v>0</v>
      </c>
      <c r="Z535" s="9">
        <f t="shared" si="43"/>
        <v>0</v>
      </c>
      <c r="AD535" s="9">
        <f t="shared" si="44"/>
        <v>0</v>
      </c>
    </row>
    <row r="536" spans="1:30" x14ac:dyDescent="0.4">
      <c r="A536"/>
      <c r="B536" s="9" t="str">
        <f t="shared" ca="1" si="40"/>
        <v/>
      </c>
      <c r="C536" t="str">
        <f t="shared" si="41"/>
        <v/>
      </c>
      <c r="T536" s="9">
        <f t="shared" si="42"/>
        <v>0</v>
      </c>
      <c r="Z536" s="9">
        <f t="shared" si="43"/>
        <v>0</v>
      </c>
      <c r="AD536" s="9">
        <f t="shared" si="44"/>
        <v>0</v>
      </c>
    </row>
    <row r="537" spans="1:30" x14ac:dyDescent="0.4">
      <c r="A537"/>
      <c r="B537" s="9" t="str">
        <f t="shared" ca="1" si="40"/>
        <v/>
      </c>
      <c r="C537" t="str">
        <f t="shared" si="41"/>
        <v/>
      </c>
      <c r="T537" s="9">
        <f t="shared" si="42"/>
        <v>0</v>
      </c>
      <c r="Z537" s="9">
        <f t="shared" si="43"/>
        <v>0</v>
      </c>
      <c r="AD537" s="9">
        <f t="shared" si="44"/>
        <v>0</v>
      </c>
    </row>
    <row r="538" spans="1:30" x14ac:dyDescent="0.4">
      <c r="A538"/>
      <c r="B538" s="9" t="str">
        <f t="shared" ca="1" si="40"/>
        <v/>
      </c>
      <c r="C538" t="str">
        <f t="shared" si="41"/>
        <v/>
      </c>
      <c r="T538" s="9">
        <f t="shared" si="42"/>
        <v>0</v>
      </c>
      <c r="Z538" s="9">
        <f t="shared" si="43"/>
        <v>0</v>
      </c>
      <c r="AD538" s="9">
        <f t="shared" si="44"/>
        <v>0</v>
      </c>
    </row>
    <row r="539" spans="1:30" x14ac:dyDescent="0.4">
      <c r="A539"/>
      <c r="B539" s="9" t="str">
        <f t="shared" ca="1" si="40"/>
        <v/>
      </c>
      <c r="C539" t="str">
        <f t="shared" si="41"/>
        <v/>
      </c>
      <c r="T539" s="9">
        <f t="shared" si="42"/>
        <v>0</v>
      </c>
      <c r="Z539" s="9">
        <f t="shared" si="43"/>
        <v>0</v>
      </c>
      <c r="AD539" s="9">
        <f t="shared" si="44"/>
        <v>0</v>
      </c>
    </row>
    <row r="540" spans="1:30" x14ac:dyDescent="0.4">
      <c r="A540"/>
      <c r="B540" s="9" t="str">
        <f t="shared" ca="1" si="40"/>
        <v/>
      </c>
      <c r="C540" t="str">
        <f t="shared" si="41"/>
        <v/>
      </c>
      <c r="T540" s="9">
        <f t="shared" si="42"/>
        <v>0</v>
      </c>
      <c r="Z540" s="9">
        <f t="shared" si="43"/>
        <v>0</v>
      </c>
      <c r="AD540" s="9">
        <f t="shared" si="44"/>
        <v>0</v>
      </c>
    </row>
    <row r="541" spans="1:30" x14ac:dyDescent="0.4">
      <c r="A541"/>
      <c r="B541" s="9" t="str">
        <f t="shared" ca="1" si="40"/>
        <v/>
      </c>
      <c r="C541" t="str">
        <f t="shared" si="41"/>
        <v/>
      </c>
      <c r="T541" s="9">
        <f t="shared" si="42"/>
        <v>0</v>
      </c>
      <c r="Z541" s="9">
        <f t="shared" si="43"/>
        <v>0</v>
      </c>
      <c r="AD541" s="9">
        <f t="shared" si="44"/>
        <v>0</v>
      </c>
    </row>
    <row r="542" spans="1:30" x14ac:dyDescent="0.4">
      <c r="A542"/>
      <c r="B542" s="9" t="str">
        <f t="shared" ca="1" si="40"/>
        <v/>
      </c>
      <c r="C542" t="str">
        <f t="shared" si="41"/>
        <v/>
      </c>
      <c r="T542" s="9">
        <f t="shared" si="42"/>
        <v>0</v>
      </c>
      <c r="Z542" s="9">
        <f t="shared" si="43"/>
        <v>0</v>
      </c>
      <c r="AD542" s="9">
        <f t="shared" si="44"/>
        <v>0</v>
      </c>
    </row>
    <row r="543" spans="1:30" x14ac:dyDescent="0.4">
      <c r="A543"/>
      <c r="B543" s="9" t="str">
        <f t="shared" ca="1" si="40"/>
        <v/>
      </c>
      <c r="C543" t="str">
        <f t="shared" si="41"/>
        <v/>
      </c>
      <c r="T543" s="9">
        <f t="shared" si="42"/>
        <v>0</v>
      </c>
      <c r="Z543" s="9">
        <f t="shared" si="43"/>
        <v>0</v>
      </c>
      <c r="AD543" s="9">
        <f t="shared" si="44"/>
        <v>0</v>
      </c>
    </row>
    <row r="544" spans="1:30" x14ac:dyDescent="0.4">
      <c r="A544"/>
      <c r="B544" s="9" t="str">
        <f t="shared" ca="1" si="40"/>
        <v/>
      </c>
      <c r="C544" t="str">
        <f t="shared" si="41"/>
        <v/>
      </c>
      <c r="T544" s="9">
        <f t="shared" si="42"/>
        <v>0</v>
      </c>
      <c r="Z544" s="9">
        <f t="shared" si="43"/>
        <v>0</v>
      </c>
      <c r="AD544" s="9">
        <f t="shared" si="44"/>
        <v>0</v>
      </c>
    </row>
    <row r="545" spans="1:30" x14ac:dyDescent="0.4">
      <c r="A545"/>
      <c r="B545" s="9" t="str">
        <f t="shared" ca="1" si="40"/>
        <v/>
      </c>
      <c r="C545" t="str">
        <f t="shared" si="41"/>
        <v/>
      </c>
      <c r="T545" s="9">
        <f t="shared" si="42"/>
        <v>0</v>
      </c>
      <c r="Z545" s="9">
        <f t="shared" si="43"/>
        <v>0</v>
      </c>
      <c r="AD545" s="9">
        <f t="shared" si="44"/>
        <v>0</v>
      </c>
    </row>
    <row r="546" spans="1:30" x14ac:dyDescent="0.4">
      <c r="A546"/>
      <c r="B546" s="9" t="str">
        <f t="shared" ca="1" si="40"/>
        <v/>
      </c>
      <c r="C546" t="str">
        <f t="shared" si="41"/>
        <v/>
      </c>
      <c r="T546" s="9">
        <f t="shared" si="42"/>
        <v>0</v>
      </c>
      <c r="Z546" s="9">
        <f t="shared" si="43"/>
        <v>0</v>
      </c>
      <c r="AD546" s="9">
        <f t="shared" si="44"/>
        <v>0</v>
      </c>
    </row>
    <row r="547" spans="1:30" x14ac:dyDescent="0.4">
      <c r="A547"/>
      <c r="B547" s="9" t="str">
        <f t="shared" ca="1" si="40"/>
        <v/>
      </c>
      <c r="C547" t="str">
        <f t="shared" si="41"/>
        <v/>
      </c>
      <c r="T547" s="9">
        <f t="shared" si="42"/>
        <v>0</v>
      </c>
      <c r="Z547" s="9">
        <f t="shared" si="43"/>
        <v>0</v>
      </c>
      <c r="AD547" s="9">
        <f t="shared" si="44"/>
        <v>0</v>
      </c>
    </row>
    <row r="548" spans="1:30" x14ac:dyDescent="0.4">
      <c r="A548"/>
      <c r="B548" s="9" t="str">
        <f t="shared" ca="1" si="40"/>
        <v/>
      </c>
      <c r="C548" t="str">
        <f t="shared" si="41"/>
        <v/>
      </c>
      <c r="T548" s="9">
        <f t="shared" si="42"/>
        <v>0</v>
      </c>
      <c r="Z548" s="9">
        <f t="shared" si="43"/>
        <v>0</v>
      </c>
      <c r="AD548" s="9">
        <f t="shared" si="44"/>
        <v>0</v>
      </c>
    </row>
    <row r="549" spans="1:30" x14ac:dyDescent="0.4">
      <c r="A549"/>
      <c r="B549" s="9" t="str">
        <f t="shared" ca="1" si="40"/>
        <v/>
      </c>
      <c r="C549" t="str">
        <f t="shared" si="41"/>
        <v/>
      </c>
      <c r="T549" s="9">
        <f t="shared" si="42"/>
        <v>0</v>
      </c>
      <c r="Z549" s="9">
        <f t="shared" si="43"/>
        <v>0</v>
      </c>
      <c r="AD549" s="9">
        <f t="shared" si="44"/>
        <v>0</v>
      </c>
    </row>
    <row r="550" spans="1:30" x14ac:dyDescent="0.4">
      <c r="A550"/>
      <c r="B550" s="9" t="str">
        <f t="shared" ca="1" si="40"/>
        <v/>
      </c>
      <c r="C550" t="str">
        <f t="shared" si="41"/>
        <v/>
      </c>
      <c r="T550" s="9">
        <f t="shared" si="42"/>
        <v>0</v>
      </c>
      <c r="Z550" s="9">
        <f t="shared" si="43"/>
        <v>0</v>
      </c>
      <c r="AD550" s="9">
        <f t="shared" si="44"/>
        <v>0</v>
      </c>
    </row>
    <row r="551" spans="1:30" x14ac:dyDescent="0.4">
      <c r="A551"/>
      <c r="B551" s="9" t="str">
        <f t="shared" ca="1" si="40"/>
        <v/>
      </c>
      <c r="C551" t="str">
        <f t="shared" si="41"/>
        <v/>
      </c>
      <c r="T551" s="9">
        <f t="shared" si="42"/>
        <v>0</v>
      </c>
      <c r="Z551" s="9">
        <f t="shared" si="43"/>
        <v>0</v>
      </c>
      <c r="AD551" s="9">
        <f t="shared" si="44"/>
        <v>0</v>
      </c>
    </row>
    <row r="552" spans="1:30" x14ac:dyDescent="0.4">
      <c r="A552"/>
      <c r="B552" s="9" t="str">
        <f t="shared" ca="1" si="40"/>
        <v/>
      </c>
      <c r="C552" t="str">
        <f t="shared" si="41"/>
        <v/>
      </c>
      <c r="T552" s="9">
        <f t="shared" si="42"/>
        <v>0</v>
      </c>
      <c r="Z552" s="9">
        <f t="shared" si="43"/>
        <v>0</v>
      </c>
      <c r="AD552" s="9">
        <f t="shared" si="44"/>
        <v>0</v>
      </c>
    </row>
    <row r="553" spans="1:30" x14ac:dyDescent="0.4">
      <c r="A553"/>
      <c r="B553" s="9" t="str">
        <f t="shared" ca="1" si="40"/>
        <v/>
      </c>
      <c r="C553" t="str">
        <f t="shared" si="41"/>
        <v/>
      </c>
      <c r="T553" s="9">
        <f t="shared" si="42"/>
        <v>0</v>
      </c>
      <c r="Z553" s="9">
        <f t="shared" si="43"/>
        <v>0</v>
      </c>
      <c r="AD553" s="9">
        <f t="shared" si="44"/>
        <v>0</v>
      </c>
    </row>
    <row r="554" spans="1:30" x14ac:dyDescent="0.4">
      <c r="A554"/>
      <c r="B554" s="9" t="str">
        <f t="shared" ca="1" si="40"/>
        <v/>
      </c>
      <c r="C554" t="str">
        <f t="shared" si="41"/>
        <v/>
      </c>
      <c r="T554" s="9">
        <f t="shared" si="42"/>
        <v>0</v>
      </c>
      <c r="Z554" s="9">
        <f t="shared" si="43"/>
        <v>0</v>
      </c>
      <c r="AD554" s="9">
        <f t="shared" si="44"/>
        <v>0</v>
      </c>
    </row>
    <row r="555" spans="1:30" x14ac:dyDescent="0.4">
      <c r="A555"/>
      <c r="B555" s="9" t="str">
        <f t="shared" ca="1" si="40"/>
        <v/>
      </c>
      <c r="C555" t="str">
        <f t="shared" si="41"/>
        <v/>
      </c>
      <c r="T555" s="9">
        <f t="shared" si="42"/>
        <v>0</v>
      </c>
      <c r="Z555" s="9">
        <f t="shared" si="43"/>
        <v>0</v>
      </c>
      <c r="AD555" s="9">
        <f t="shared" si="44"/>
        <v>0</v>
      </c>
    </row>
    <row r="556" spans="1:30" x14ac:dyDescent="0.4">
      <c r="A556"/>
      <c r="B556" s="9" t="str">
        <f t="shared" ca="1" si="40"/>
        <v/>
      </c>
      <c r="C556" t="str">
        <f t="shared" si="41"/>
        <v/>
      </c>
      <c r="T556" s="9">
        <f t="shared" si="42"/>
        <v>0</v>
      </c>
      <c r="Z556" s="9">
        <f t="shared" si="43"/>
        <v>0</v>
      </c>
      <c r="AD556" s="9">
        <f t="shared" si="44"/>
        <v>0</v>
      </c>
    </row>
    <row r="557" spans="1:30" x14ac:dyDescent="0.4">
      <c r="A557"/>
      <c r="B557" s="9" t="str">
        <f t="shared" ca="1" si="40"/>
        <v/>
      </c>
      <c r="C557" t="str">
        <f t="shared" si="41"/>
        <v/>
      </c>
      <c r="T557" s="9">
        <f t="shared" si="42"/>
        <v>0</v>
      </c>
      <c r="Z557" s="9">
        <f t="shared" si="43"/>
        <v>0</v>
      </c>
      <c r="AD557" s="9">
        <f t="shared" si="44"/>
        <v>0</v>
      </c>
    </row>
    <row r="558" spans="1:30" x14ac:dyDescent="0.4">
      <c r="A558"/>
      <c r="B558" s="9" t="str">
        <f t="shared" ca="1" si="40"/>
        <v/>
      </c>
      <c r="C558" t="str">
        <f t="shared" si="41"/>
        <v/>
      </c>
      <c r="T558" s="9">
        <f t="shared" si="42"/>
        <v>0</v>
      </c>
      <c r="Z558" s="9">
        <f t="shared" si="43"/>
        <v>0</v>
      </c>
      <c r="AD558" s="9">
        <f t="shared" si="44"/>
        <v>0</v>
      </c>
    </row>
    <row r="559" spans="1:30" x14ac:dyDescent="0.4">
      <c r="A559"/>
      <c r="B559" s="9" t="str">
        <f t="shared" ca="1" si="40"/>
        <v/>
      </c>
      <c r="C559" t="str">
        <f t="shared" si="41"/>
        <v/>
      </c>
      <c r="T559" s="9">
        <f t="shared" si="42"/>
        <v>0</v>
      </c>
      <c r="Z559" s="9">
        <f t="shared" si="43"/>
        <v>0</v>
      </c>
      <c r="AD559" s="9">
        <f t="shared" si="44"/>
        <v>0</v>
      </c>
    </row>
    <row r="560" spans="1:30" x14ac:dyDescent="0.4">
      <c r="A560"/>
      <c r="B560" s="9" t="str">
        <f t="shared" ca="1" si="40"/>
        <v/>
      </c>
      <c r="C560" t="str">
        <f t="shared" si="41"/>
        <v/>
      </c>
      <c r="T560" s="9">
        <f t="shared" si="42"/>
        <v>0</v>
      </c>
      <c r="Z560" s="9">
        <f t="shared" si="43"/>
        <v>0</v>
      </c>
      <c r="AD560" s="9">
        <f t="shared" si="44"/>
        <v>0</v>
      </c>
    </row>
    <row r="561" spans="1:30" x14ac:dyDescent="0.4">
      <c r="A561"/>
      <c r="B561" s="9" t="str">
        <f t="shared" ca="1" si="40"/>
        <v/>
      </c>
      <c r="C561" t="str">
        <f t="shared" si="41"/>
        <v/>
      </c>
      <c r="T561" s="9">
        <f t="shared" si="42"/>
        <v>0</v>
      </c>
      <c r="Z561" s="9">
        <f t="shared" si="43"/>
        <v>0</v>
      </c>
      <c r="AD561" s="9">
        <f t="shared" si="44"/>
        <v>0</v>
      </c>
    </row>
    <row r="562" spans="1:30" x14ac:dyDescent="0.4">
      <c r="A562"/>
      <c r="B562" s="9" t="str">
        <f t="shared" ca="1" si="40"/>
        <v/>
      </c>
      <c r="C562" t="str">
        <f t="shared" si="41"/>
        <v/>
      </c>
      <c r="T562" s="9">
        <f t="shared" si="42"/>
        <v>0</v>
      </c>
      <c r="Z562" s="9">
        <f t="shared" si="43"/>
        <v>0</v>
      </c>
      <c r="AD562" s="9">
        <f t="shared" si="44"/>
        <v>0</v>
      </c>
    </row>
    <row r="563" spans="1:30" x14ac:dyDescent="0.4">
      <c r="A563"/>
      <c r="B563" s="9" t="str">
        <f t="shared" ca="1" si="40"/>
        <v/>
      </c>
      <c r="C563" t="str">
        <f t="shared" si="41"/>
        <v/>
      </c>
      <c r="T563" s="9">
        <f t="shared" si="42"/>
        <v>0</v>
      </c>
      <c r="Z563" s="9">
        <f t="shared" si="43"/>
        <v>0</v>
      </c>
      <c r="AD563" s="9">
        <f t="shared" si="44"/>
        <v>0</v>
      </c>
    </row>
    <row r="564" spans="1:30" x14ac:dyDescent="0.4">
      <c r="A564"/>
      <c r="B564" s="9" t="str">
        <f t="shared" ca="1" si="40"/>
        <v/>
      </c>
      <c r="C564" t="str">
        <f t="shared" si="41"/>
        <v/>
      </c>
      <c r="T564" s="9">
        <f t="shared" si="42"/>
        <v>0</v>
      </c>
      <c r="Z564" s="9">
        <f t="shared" si="43"/>
        <v>0</v>
      </c>
      <c r="AD564" s="9">
        <f t="shared" si="44"/>
        <v>0</v>
      </c>
    </row>
    <row r="565" spans="1:30" x14ac:dyDescent="0.4">
      <c r="A565"/>
      <c r="B565" s="9" t="str">
        <f t="shared" ca="1" si="40"/>
        <v/>
      </c>
      <c r="C565" t="str">
        <f t="shared" si="41"/>
        <v/>
      </c>
      <c r="T565" s="9">
        <f t="shared" si="42"/>
        <v>0</v>
      </c>
      <c r="Z565" s="9">
        <f t="shared" si="43"/>
        <v>0</v>
      </c>
      <c r="AD565" s="9">
        <f t="shared" si="44"/>
        <v>0</v>
      </c>
    </row>
    <row r="566" spans="1:30" x14ac:dyDescent="0.4">
      <c r="A566"/>
      <c r="B566" s="9" t="str">
        <f t="shared" ca="1" si="40"/>
        <v/>
      </c>
      <c r="C566" t="str">
        <f t="shared" si="41"/>
        <v/>
      </c>
      <c r="T566" s="9">
        <f t="shared" si="42"/>
        <v>0</v>
      </c>
      <c r="Z566" s="9">
        <f t="shared" si="43"/>
        <v>0</v>
      </c>
      <c r="AD566" s="9">
        <f t="shared" si="44"/>
        <v>0</v>
      </c>
    </row>
    <row r="567" spans="1:30" x14ac:dyDescent="0.4">
      <c r="A567"/>
      <c r="B567" s="9" t="str">
        <f t="shared" ca="1" si="40"/>
        <v/>
      </c>
      <c r="C567" t="str">
        <f t="shared" si="41"/>
        <v/>
      </c>
      <c r="T567" s="9">
        <f t="shared" si="42"/>
        <v>0</v>
      </c>
      <c r="Z567" s="9">
        <f t="shared" si="43"/>
        <v>0</v>
      </c>
      <c r="AD567" s="9">
        <f t="shared" si="44"/>
        <v>0</v>
      </c>
    </row>
    <row r="568" spans="1:30" x14ac:dyDescent="0.4">
      <c r="A568"/>
      <c r="B568" s="9" t="str">
        <f t="shared" ca="1" si="40"/>
        <v/>
      </c>
      <c r="C568" t="str">
        <f t="shared" si="41"/>
        <v/>
      </c>
      <c r="T568" s="9">
        <f t="shared" si="42"/>
        <v>0</v>
      </c>
      <c r="Z568" s="9">
        <f t="shared" si="43"/>
        <v>0</v>
      </c>
      <c r="AD568" s="9">
        <f t="shared" si="44"/>
        <v>0</v>
      </c>
    </row>
    <row r="569" spans="1:30" x14ac:dyDescent="0.4">
      <c r="A569"/>
      <c r="B569" s="9" t="str">
        <f t="shared" ca="1" si="40"/>
        <v/>
      </c>
      <c r="C569" t="str">
        <f t="shared" si="41"/>
        <v/>
      </c>
      <c r="T569" s="9">
        <f t="shared" si="42"/>
        <v>0</v>
      </c>
      <c r="Z569" s="9">
        <f t="shared" si="43"/>
        <v>0</v>
      </c>
      <c r="AD569" s="9">
        <f t="shared" si="44"/>
        <v>0</v>
      </c>
    </row>
    <row r="570" spans="1:30" x14ac:dyDescent="0.4">
      <c r="A570"/>
      <c r="B570" s="9" t="str">
        <f t="shared" ca="1" si="40"/>
        <v/>
      </c>
      <c r="C570" t="str">
        <f t="shared" si="41"/>
        <v/>
      </c>
      <c r="T570" s="9">
        <f t="shared" si="42"/>
        <v>0</v>
      </c>
      <c r="Z570" s="9">
        <f t="shared" si="43"/>
        <v>0</v>
      </c>
      <c r="AD570" s="9">
        <f t="shared" si="44"/>
        <v>0</v>
      </c>
    </row>
    <row r="571" spans="1:30" x14ac:dyDescent="0.4">
      <c r="A571"/>
      <c r="B571" s="9" t="str">
        <f t="shared" ca="1" si="40"/>
        <v/>
      </c>
      <c r="C571" t="str">
        <f t="shared" si="41"/>
        <v/>
      </c>
      <c r="T571" s="9">
        <f t="shared" si="42"/>
        <v>0</v>
      </c>
      <c r="Z571" s="9">
        <f t="shared" si="43"/>
        <v>0</v>
      </c>
      <c r="AD571" s="9">
        <f t="shared" si="44"/>
        <v>0</v>
      </c>
    </row>
    <row r="572" spans="1:30" x14ac:dyDescent="0.4">
      <c r="A572"/>
      <c r="B572" s="9" t="str">
        <f t="shared" ca="1" si="40"/>
        <v/>
      </c>
      <c r="C572" t="str">
        <f t="shared" si="41"/>
        <v/>
      </c>
      <c r="T572" s="9">
        <f t="shared" si="42"/>
        <v>0</v>
      </c>
      <c r="Z572" s="9">
        <f t="shared" si="43"/>
        <v>0</v>
      </c>
      <c r="AD572" s="9">
        <f t="shared" si="44"/>
        <v>0</v>
      </c>
    </row>
    <row r="573" spans="1:30" x14ac:dyDescent="0.4">
      <c r="A573"/>
      <c r="B573" s="9" t="str">
        <f t="shared" ca="1" si="40"/>
        <v/>
      </c>
      <c r="C573" t="str">
        <f t="shared" si="41"/>
        <v/>
      </c>
      <c r="T573" s="9">
        <f t="shared" si="42"/>
        <v>0</v>
      </c>
      <c r="Z573" s="9">
        <f t="shared" si="43"/>
        <v>0</v>
      </c>
      <c r="AD573" s="9">
        <f t="shared" si="44"/>
        <v>0</v>
      </c>
    </row>
    <row r="574" spans="1:30" x14ac:dyDescent="0.4">
      <c r="A574"/>
      <c r="B574" s="9" t="str">
        <f t="shared" ca="1" si="40"/>
        <v/>
      </c>
      <c r="C574" t="str">
        <f t="shared" si="41"/>
        <v/>
      </c>
      <c r="T574" s="9">
        <f t="shared" si="42"/>
        <v>0</v>
      </c>
      <c r="Z574" s="9">
        <f t="shared" si="43"/>
        <v>0</v>
      </c>
      <c r="AD574" s="9">
        <f t="shared" si="44"/>
        <v>0</v>
      </c>
    </row>
    <row r="575" spans="1:30" x14ac:dyDescent="0.4">
      <c r="A575"/>
      <c r="B575" s="9" t="str">
        <f t="shared" ca="1" si="40"/>
        <v/>
      </c>
      <c r="C575" t="str">
        <f t="shared" si="41"/>
        <v/>
      </c>
      <c r="T575" s="9">
        <f t="shared" si="42"/>
        <v>0</v>
      </c>
      <c r="Z575" s="9">
        <f t="shared" si="43"/>
        <v>0</v>
      </c>
      <c r="AD575" s="9">
        <f t="shared" si="44"/>
        <v>0</v>
      </c>
    </row>
    <row r="576" spans="1:30" x14ac:dyDescent="0.4">
      <c r="A576"/>
      <c r="B576" s="9" t="str">
        <f t="shared" ca="1" si="40"/>
        <v/>
      </c>
      <c r="C576" t="str">
        <f t="shared" si="41"/>
        <v/>
      </c>
      <c r="T576" s="9">
        <f t="shared" si="42"/>
        <v>0</v>
      </c>
      <c r="Z576" s="9">
        <f t="shared" si="43"/>
        <v>0</v>
      </c>
      <c r="AD576" s="9">
        <f t="shared" si="44"/>
        <v>0</v>
      </c>
    </row>
    <row r="577" spans="1:30" x14ac:dyDescent="0.4">
      <c r="A577"/>
      <c r="B577" s="9" t="str">
        <f t="shared" ca="1" si="40"/>
        <v/>
      </c>
      <c r="C577" t="str">
        <f t="shared" si="41"/>
        <v/>
      </c>
      <c r="T577" s="9">
        <f t="shared" si="42"/>
        <v>0</v>
      </c>
      <c r="Z577" s="9">
        <f t="shared" si="43"/>
        <v>0</v>
      </c>
      <c r="AD577" s="9">
        <f t="shared" si="44"/>
        <v>0</v>
      </c>
    </row>
    <row r="578" spans="1:30" x14ac:dyDescent="0.4">
      <c r="A578"/>
      <c r="B578" s="9" t="str">
        <f t="shared" ca="1" si="40"/>
        <v/>
      </c>
      <c r="C578" t="str">
        <f t="shared" si="41"/>
        <v/>
      </c>
      <c r="T578" s="9">
        <f t="shared" si="42"/>
        <v>0</v>
      </c>
      <c r="Z578" s="9">
        <f t="shared" si="43"/>
        <v>0</v>
      </c>
      <c r="AD578" s="9">
        <f t="shared" si="44"/>
        <v>0</v>
      </c>
    </row>
    <row r="579" spans="1:30" x14ac:dyDescent="0.4">
      <c r="A579"/>
      <c r="B579" s="9" t="str">
        <f t="shared" ref="B579:B642" ca="1" si="45">TEXT(IFERROR(LOOKUP(10^8,MID(A579,ROW(INDIRECT("1:"&amp;LEN(A579)-11)),8)+0),IF(A579="","",TRIM(RIGHT(SUBSTITUTE(LEFT(A579,LEN(A579)-4),"\",REPT(" ",50)),50)))),"00000000")</f>
        <v/>
      </c>
      <c r="C579" t="str">
        <f t="shared" ref="C579:C642" si="46">IF(A579="","",$J$1&amp;"\"&amp;A579)</f>
        <v/>
      </c>
      <c r="T579" s="9">
        <f t="shared" si="42"/>
        <v>0</v>
      </c>
      <c r="Z579" s="9">
        <f t="shared" si="43"/>
        <v>0</v>
      </c>
      <c r="AD579" s="9">
        <f t="shared" si="44"/>
        <v>0</v>
      </c>
    </row>
    <row r="580" spans="1:30" x14ac:dyDescent="0.4">
      <c r="A580"/>
      <c r="B580" s="9" t="str">
        <f t="shared" ca="1" si="45"/>
        <v/>
      </c>
      <c r="C580" t="str">
        <f t="shared" si="46"/>
        <v/>
      </c>
      <c r="T580" s="9">
        <f t="shared" si="42"/>
        <v>0</v>
      </c>
      <c r="Z580" s="9">
        <f t="shared" si="43"/>
        <v>0</v>
      </c>
      <c r="AD580" s="9">
        <f t="shared" si="44"/>
        <v>0</v>
      </c>
    </row>
    <row r="581" spans="1:30" x14ac:dyDescent="0.4">
      <c r="A581"/>
      <c r="B581" s="9" t="str">
        <f t="shared" ca="1" si="45"/>
        <v/>
      </c>
      <c r="C581" t="str">
        <f t="shared" si="46"/>
        <v/>
      </c>
      <c r="T581" s="9">
        <f t="shared" si="42"/>
        <v>0</v>
      </c>
      <c r="Z581" s="9">
        <f t="shared" si="43"/>
        <v>0</v>
      </c>
      <c r="AD581" s="9">
        <f t="shared" si="44"/>
        <v>0</v>
      </c>
    </row>
    <row r="582" spans="1:30" x14ac:dyDescent="0.4">
      <c r="A582"/>
      <c r="B582" s="9" t="str">
        <f t="shared" ca="1" si="45"/>
        <v/>
      </c>
      <c r="C582" t="str">
        <f t="shared" si="46"/>
        <v/>
      </c>
      <c r="T582" s="9">
        <f t="shared" si="42"/>
        <v>0</v>
      </c>
      <c r="Z582" s="9">
        <f t="shared" si="43"/>
        <v>0</v>
      </c>
      <c r="AD582" s="9">
        <f t="shared" si="44"/>
        <v>0</v>
      </c>
    </row>
    <row r="583" spans="1:30" x14ac:dyDescent="0.4">
      <c r="A583"/>
      <c r="B583" s="9" t="str">
        <f t="shared" ca="1" si="45"/>
        <v/>
      </c>
      <c r="C583" t="str">
        <f t="shared" si="46"/>
        <v/>
      </c>
      <c r="T583" s="9">
        <f t="shared" si="42"/>
        <v>0</v>
      </c>
      <c r="Z583" s="9">
        <f t="shared" si="43"/>
        <v>0</v>
      </c>
      <c r="AD583" s="9">
        <f t="shared" si="44"/>
        <v>0</v>
      </c>
    </row>
    <row r="584" spans="1:30" x14ac:dyDescent="0.4">
      <c r="A584"/>
      <c r="B584" s="9" t="str">
        <f t="shared" ca="1" si="45"/>
        <v/>
      </c>
      <c r="C584" t="str">
        <f t="shared" si="46"/>
        <v/>
      </c>
      <c r="T584" s="9">
        <f t="shared" ref="T584:T647" si="47">(COUNTIFS(TH_TK,N584,TH_DuNo,O584,TH_DuNoNT,P584,TH_DuCo,Q584,TH_DuCoNT,R584,TH_SoLuong,S584)&gt;0)*1</f>
        <v>0</v>
      </c>
      <c r="Z584" s="9">
        <f t="shared" ref="Z584:Z647" si="48">(COUNTIFS(NV,U584,TK,V584,TongNo,W584,TongCo,X584,SoLuong,Y584)&gt;0)*1</f>
        <v>0</v>
      </c>
      <c r="AD584" s="9">
        <f t="shared" ref="AD584:AD647" si="49">COUNTIFS(ReportType,AA584,ItemCode,AB584,Amount,AC584)</f>
        <v>0</v>
      </c>
    </row>
    <row r="585" spans="1:30" x14ac:dyDescent="0.4">
      <c r="A585"/>
      <c r="B585" s="9" t="str">
        <f t="shared" ca="1" si="45"/>
        <v/>
      </c>
      <c r="C585" t="str">
        <f t="shared" si="46"/>
        <v/>
      </c>
      <c r="T585" s="9">
        <f t="shared" si="47"/>
        <v>0</v>
      </c>
      <c r="Z585" s="9">
        <f t="shared" si="48"/>
        <v>0</v>
      </c>
      <c r="AD585" s="9">
        <f t="shared" si="49"/>
        <v>0</v>
      </c>
    </row>
    <row r="586" spans="1:30" x14ac:dyDescent="0.4">
      <c r="A586"/>
      <c r="B586" s="9" t="str">
        <f t="shared" ca="1" si="45"/>
        <v/>
      </c>
      <c r="C586" t="str">
        <f t="shared" si="46"/>
        <v/>
      </c>
      <c r="T586" s="9">
        <f t="shared" si="47"/>
        <v>0</v>
      </c>
      <c r="Z586" s="9">
        <f t="shared" si="48"/>
        <v>0</v>
      </c>
      <c r="AD586" s="9">
        <f t="shared" si="49"/>
        <v>0</v>
      </c>
    </row>
    <row r="587" spans="1:30" x14ac:dyDescent="0.4">
      <c r="A587"/>
      <c r="B587" s="9" t="str">
        <f t="shared" ca="1" si="45"/>
        <v/>
      </c>
      <c r="C587" t="str">
        <f t="shared" si="46"/>
        <v/>
      </c>
      <c r="T587" s="9">
        <f t="shared" si="47"/>
        <v>0</v>
      </c>
      <c r="Z587" s="9">
        <f t="shared" si="48"/>
        <v>0</v>
      </c>
      <c r="AD587" s="9">
        <f t="shared" si="49"/>
        <v>0</v>
      </c>
    </row>
    <row r="588" spans="1:30" x14ac:dyDescent="0.4">
      <c r="A588"/>
      <c r="B588" s="9" t="str">
        <f t="shared" ca="1" si="45"/>
        <v/>
      </c>
      <c r="C588" t="str">
        <f t="shared" si="46"/>
        <v/>
      </c>
      <c r="T588" s="9">
        <f t="shared" si="47"/>
        <v>0</v>
      </c>
      <c r="Z588" s="9">
        <f t="shared" si="48"/>
        <v>0</v>
      </c>
      <c r="AD588" s="9">
        <f t="shared" si="49"/>
        <v>0</v>
      </c>
    </row>
    <row r="589" spans="1:30" x14ac:dyDescent="0.4">
      <c r="A589"/>
      <c r="B589" s="9" t="str">
        <f t="shared" ca="1" si="45"/>
        <v/>
      </c>
      <c r="C589" t="str">
        <f t="shared" si="46"/>
        <v/>
      </c>
      <c r="T589" s="9">
        <f t="shared" si="47"/>
        <v>0</v>
      </c>
      <c r="Z589" s="9">
        <f t="shared" si="48"/>
        <v>0</v>
      </c>
      <c r="AD589" s="9">
        <f t="shared" si="49"/>
        <v>0</v>
      </c>
    </row>
    <row r="590" spans="1:30" x14ac:dyDescent="0.4">
      <c r="A590"/>
      <c r="B590" s="9" t="str">
        <f t="shared" ca="1" si="45"/>
        <v/>
      </c>
      <c r="C590" t="str">
        <f t="shared" si="46"/>
        <v/>
      </c>
      <c r="T590" s="9">
        <f t="shared" si="47"/>
        <v>0</v>
      </c>
      <c r="Z590" s="9">
        <f t="shared" si="48"/>
        <v>0</v>
      </c>
      <c r="AD590" s="9">
        <f t="shared" si="49"/>
        <v>0</v>
      </c>
    </row>
    <row r="591" spans="1:30" x14ac:dyDescent="0.4">
      <c r="A591"/>
      <c r="B591" s="9" t="str">
        <f t="shared" ca="1" si="45"/>
        <v/>
      </c>
      <c r="C591" t="str">
        <f t="shared" si="46"/>
        <v/>
      </c>
      <c r="T591" s="9">
        <f t="shared" si="47"/>
        <v>0</v>
      </c>
      <c r="Z591" s="9">
        <f t="shared" si="48"/>
        <v>0</v>
      </c>
      <c r="AD591" s="9">
        <f t="shared" si="49"/>
        <v>0</v>
      </c>
    </row>
    <row r="592" spans="1:30" x14ac:dyDescent="0.4">
      <c r="A592"/>
      <c r="B592" s="9" t="str">
        <f t="shared" ca="1" si="45"/>
        <v/>
      </c>
      <c r="C592" t="str">
        <f t="shared" si="46"/>
        <v/>
      </c>
      <c r="T592" s="9">
        <f t="shared" si="47"/>
        <v>0</v>
      </c>
      <c r="Z592" s="9">
        <f t="shared" si="48"/>
        <v>0</v>
      </c>
      <c r="AD592" s="9">
        <f t="shared" si="49"/>
        <v>0</v>
      </c>
    </row>
    <row r="593" spans="1:30" x14ac:dyDescent="0.4">
      <c r="A593"/>
      <c r="B593" s="9" t="str">
        <f t="shared" ca="1" si="45"/>
        <v/>
      </c>
      <c r="C593" t="str">
        <f t="shared" si="46"/>
        <v/>
      </c>
      <c r="T593" s="9">
        <f t="shared" si="47"/>
        <v>0</v>
      </c>
      <c r="Z593" s="9">
        <f t="shared" si="48"/>
        <v>0</v>
      </c>
      <c r="AD593" s="9">
        <f t="shared" si="49"/>
        <v>0</v>
      </c>
    </row>
    <row r="594" spans="1:30" x14ac:dyDescent="0.4">
      <c r="A594"/>
      <c r="B594" s="9" t="str">
        <f t="shared" ca="1" si="45"/>
        <v/>
      </c>
      <c r="C594" t="str">
        <f t="shared" si="46"/>
        <v/>
      </c>
      <c r="T594" s="9">
        <f t="shared" si="47"/>
        <v>0</v>
      </c>
      <c r="Z594" s="9">
        <f t="shared" si="48"/>
        <v>0</v>
      </c>
      <c r="AD594" s="9">
        <f t="shared" si="49"/>
        <v>0</v>
      </c>
    </row>
    <row r="595" spans="1:30" x14ac:dyDescent="0.4">
      <c r="A595"/>
      <c r="B595" s="9" t="str">
        <f t="shared" ca="1" si="45"/>
        <v/>
      </c>
      <c r="C595" t="str">
        <f t="shared" si="46"/>
        <v/>
      </c>
      <c r="T595" s="9">
        <f t="shared" si="47"/>
        <v>0</v>
      </c>
      <c r="Z595" s="9">
        <f t="shared" si="48"/>
        <v>0</v>
      </c>
      <c r="AD595" s="9">
        <f t="shared" si="49"/>
        <v>0</v>
      </c>
    </row>
    <row r="596" spans="1:30" x14ac:dyDescent="0.4">
      <c r="A596"/>
      <c r="B596" s="9" t="str">
        <f t="shared" ca="1" si="45"/>
        <v/>
      </c>
      <c r="C596" t="str">
        <f t="shared" si="46"/>
        <v/>
      </c>
      <c r="T596" s="9">
        <f t="shared" si="47"/>
        <v>0</v>
      </c>
      <c r="Z596" s="9">
        <f t="shared" si="48"/>
        <v>0</v>
      </c>
      <c r="AD596" s="9">
        <f t="shared" si="49"/>
        <v>0</v>
      </c>
    </row>
    <row r="597" spans="1:30" x14ac:dyDescent="0.4">
      <c r="A597"/>
      <c r="B597" s="9" t="str">
        <f t="shared" ca="1" si="45"/>
        <v/>
      </c>
      <c r="C597" t="str">
        <f t="shared" si="46"/>
        <v/>
      </c>
      <c r="T597" s="9">
        <f t="shared" si="47"/>
        <v>0</v>
      </c>
      <c r="Z597" s="9">
        <f t="shared" si="48"/>
        <v>0</v>
      </c>
      <c r="AD597" s="9">
        <f t="shared" si="49"/>
        <v>0</v>
      </c>
    </row>
    <row r="598" spans="1:30" x14ac:dyDescent="0.4">
      <c r="A598"/>
      <c r="B598" s="9" t="str">
        <f t="shared" ca="1" si="45"/>
        <v/>
      </c>
      <c r="C598" t="str">
        <f t="shared" si="46"/>
        <v/>
      </c>
      <c r="T598" s="9">
        <f t="shared" si="47"/>
        <v>0</v>
      </c>
      <c r="Z598" s="9">
        <f t="shared" si="48"/>
        <v>0</v>
      </c>
      <c r="AD598" s="9">
        <f t="shared" si="49"/>
        <v>0</v>
      </c>
    </row>
    <row r="599" spans="1:30" x14ac:dyDescent="0.4">
      <c r="A599"/>
      <c r="B599" s="9" t="str">
        <f t="shared" ca="1" si="45"/>
        <v/>
      </c>
      <c r="C599" t="str">
        <f t="shared" si="46"/>
        <v/>
      </c>
      <c r="T599" s="9">
        <f t="shared" si="47"/>
        <v>0</v>
      </c>
      <c r="Z599" s="9">
        <f t="shared" si="48"/>
        <v>0</v>
      </c>
      <c r="AD599" s="9">
        <f t="shared" si="49"/>
        <v>0</v>
      </c>
    </row>
    <row r="600" spans="1:30" x14ac:dyDescent="0.4">
      <c r="A600"/>
      <c r="B600" s="9" t="str">
        <f t="shared" ca="1" si="45"/>
        <v/>
      </c>
      <c r="C600" t="str">
        <f t="shared" si="46"/>
        <v/>
      </c>
      <c r="T600" s="9">
        <f t="shared" si="47"/>
        <v>0</v>
      </c>
      <c r="Z600" s="9">
        <f t="shared" si="48"/>
        <v>0</v>
      </c>
      <c r="AD600" s="9">
        <f t="shared" si="49"/>
        <v>0</v>
      </c>
    </row>
    <row r="601" spans="1:30" x14ac:dyDescent="0.4">
      <c r="A601"/>
      <c r="B601" s="9" t="str">
        <f t="shared" ca="1" si="45"/>
        <v/>
      </c>
      <c r="C601" t="str">
        <f t="shared" si="46"/>
        <v/>
      </c>
      <c r="T601" s="9">
        <f t="shared" si="47"/>
        <v>0</v>
      </c>
      <c r="Z601" s="9">
        <f t="shared" si="48"/>
        <v>0</v>
      </c>
      <c r="AD601" s="9">
        <f t="shared" si="49"/>
        <v>0</v>
      </c>
    </row>
    <row r="602" spans="1:30" x14ac:dyDescent="0.4">
      <c r="A602"/>
      <c r="B602" s="9" t="str">
        <f t="shared" ca="1" si="45"/>
        <v/>
      </c>
      <c r="C602" t="str">
        <f t="shared" si="46"/>
        <v/>
      </c>
      <c r="T602" s="9">
        <f t="shared" si="47"/>
        <v>0</v>
      </c>
      <c r="Z602" s="9">
        <f t="shared" si="48"/>
        <v>0</v>
      </c>
      <c r="AD602" s="9">
        <f t="shared" si="49"/>
        <v>0</v>
      </c>
    </row>
    <row r="603" spans="1:30" x14ac:dyDescent="0.4">
      <c r="A603"/>
      <c r="B603" s="9" t="str">
        <f t="shared" ca="1" si="45"/>
        <v/>
      </c>
      <c r="C603" t="str">
        <f t="shared" si="46"/>
        <v/>
      </c>
      <c r="T603" s="9">
        <f t="shared" si="47"/>
        <v>0</v>
      </c>
      <c r="Z603" s="9">
        <f t="shared" si="48"/>
        <v>0</v>
      </c>
      <c r="AD603" s="9">
        <f t="shared" si="49"/>
        <v>0</v>
      </c>
    </row>
    <row r="604" spans="1:30" x14ac:dyDescent="0.4">
      <c r="A604"/>
      <c r="B604" s="9" t="str">
        <f t="shared" ca="1" si="45"/>
        <v/>
      </c>
      <c r="C604" t="str">
        <f t="shared" si="46"/>
        <v/>
      </c>
      <c r="T604" s="9">
        <f t="shared" si="47"/>
        <v>0</v>
      </c>
      <c r="Z604" s="9">
        <f t="shared" si="48"/>
        <v>0</v>
      </c>
      <c r="AD604" s="9">
        <f t="shared" si="49"/>
        <v>0</v>
      </c>
    </row>
    <row r="605" spans="1:30" x14ac:dyDescent="0.4">
      <c r="A605"/>
      <c r="B605" s="9" t="str">
        <f t="shared" ca="1" si="45"/>
        <v/>
      </c>
      <c r="C605" t="str">
        <f t="shared" si="46"/>
        <v/>
      </c>
      <c r="T605" s="9">
        <f t="shared" si="47"/>
        <v>0</v>
      </c>
      <c r="Z605" s="9">
        <f t="shared" si="48"/>
        <v>0</v>
      </c>
      <c r="AD605" s="9">
        <f t="shared" si="49"/>
        <v>0</v>
      </c>
    </row>
    <row r="606" spans="1:30" x14ac:dyDescent="0.4">
      <c r="A606"/>
      <c r="B606" s="9" t="str">
        <f t="shared" ca="1" si="45"/>
        <v/>
      </c>
      <c r="C606" t="str">
        <f t="shared" si="46"/>
        <v/>
      </c>
      <c r="T606" s="9">
        <f t="shared" si="47"/>
        <v>0</v>
      </c>
      <c r="Z606" s="9">
        <f t="shared" si="48"/>
        <v>0</v>
      </c>
      <c r="AD606" s="9">
        <f t="shared" si="49"/>
        <v>0</v>
      </c>
    </row>
    <row r="607" spans="1:30" x14ac:dyDescent="0.4">
      <c r="A607"/>
      <c r="B607" s="9" t="str">
        <f t="shared" ca="1" si="45"/>
        <v/>
      </c>
      <c r="C607" t="str">
        <f t="shared" si="46"/>
        <v/>
      </c>
      <c r="T607" s="9">
        <f t="shared" si="47"/>
        <v>0</v>
      </c>
      <c r="Z607" s="9">
        <f t="shared" si="48"/>
        <v>0</v>
      </c>
      <c r="AD607" s="9">
        <f t="shared" si="49"/>
        <v>0</v>
      </c>
    </row>
    <row r="608" spans="1:30" x14ac:dyDescent="0.4">
      <c r="A608"/>
      <c r="B608" s="9" t="str">
        <f t="shared" ca="1" si="45"/>
        <v/>
      </c>
      <c r="C608" t="str">
        <f t="shared" si="46"/>
        <v/>
      </c>
      <c r="T608" s="9">
        <f t="shared" si="47"/>
        <v>0</v>
      </c>
      <c r="Z608" s="9">
        <f t="shared" si="48"/>
        <v>0</v>
      </c>
      <c r="AD608" s="9">
        <f t="shared" si="49"/>
        <v>0</v>
      </c>
    </row>
    <row r="609" spans="1:30" x14ac:dyDescent="0.4">
      <c r="A609"/>
      <c r="B609" s="9" t="str">
        <f t="shared" ca="1" si="45"/>
        <v/>
      </c>
      <c r="C609" t="str">
        <f t="shared" si="46"/>
        <v/>
      </c>
      <c r="T609" s="9">
        <f t="shared" si="47"/>
        <v>0</v>
      </c>
      <c r="Z609" s="9">
        <f t="shared" si="48"/>
        <v>0</v>
      </c>
      <c r="AD609" s="9">
        <f t="shared" si="49"/>
        <v>0</v>
      </c>
    </row>
    <row r="610" spans="1:30" x14ac:dyDescent="0.4">
      <c r="A610"/>
      <c r="B610" s="9" t="str">
        <f t="shared" ca="1" si="45"/>
        <v/>
      </c>
      <c r="C610" t="str">
        <f t="shared" si="46"/>
        <v/>
      </c>
      <c r="T610" s="9">
        <f t="shared" si="47"/>
        <v>0</v>
      </c>
      <c r="Z610" s="9">
        <f t="shared" si="48"/>
        <v>0</v>
      </c>
      <c r="AD610" s="9">
        <f t="shared" si="49"/>
        <v>0</v>
      </c>
    </row>
    <row r="611" spans="1:30" x14ac:dyDescent="0.4">
      <c r="A611"/>
      <c r="B611" s="9" t="str">
        <f t="shared" ca="1" si="45"/>
        <v/>
      </c>
      <c r="C611" t="str">
        <f t="shared" si="46"/>
        <v/>
      </c>
      <c r="T611" s="9">
        <f t="shared" si="47"/>
        <v>0</v>
      </c>
      <c r="Z611" s="9">
        <f t="shared" si="48"/>
        <v>0</v>
      </c>
      <c r="AD611" s="9">
        <f t="shared" si="49"/>
        <v>0</v>
      </c>
    </row>
    <row r="612" spans="1:30" x14ac:dyDescent="0.4">
      <c r="A612"/>
      <c r="B612" s="9" t="str">
        <f t="shared" ca="1" si="45"/>
        <v/>
      </c>
      <c r="C612" t="str">
        <f t="shared" si="46"/>
        <v/>
      </c>
      <c r="T612" s="9">
        <f t="shared" si="47"/>
        <v>0</v>
      </c>
      <c r="Z612" s="9">
        <f t="shared" si="48"/>
        <v>0</v>
      </c>
      <c r="AD612" s="9">
        <f t="shared" si="49"/>
        <v>0</v>
      </c>
    </row>
    <row r="613" spans="1:30" x14ac:dyDescent="0.4">
      <c r="A613"/>
      <c r="B613" s="9" t="str">
        <f t="shared" ca="1" si="45"/>
        <v/>
      </c>
      <c r="C613" t="str">
        <f t="shared" si="46"/>
        <v/>
      </c>
      <c r="T613" s="9">
        <f t="shared" si="47"/>
        <v>0</v>
      </c>
      <c r="Z613" s="9">
        <f t="shared" si="48"/>
        <v>0</v>
      </c>
      <c r="AD613" s="9">
        <f t="shared" si="49"/>
        <v>0</v>
      </c>
    </row>
    <row r="614" spans="1:30" x14ac:dyDescent="0.4">
      <c r="A614"/>
      <c r="B614" s="9" t="str">
        <f t="shared" ca="1" si="45"/>
        <v/>
      </c>
      <c r="C614" t="str">
        <f t="shared" si="46"/>
        <v/>
      </c>
      <c r="T614" s="9">
        <f t="shared" si="47"/>
        <v>0</v>
      </c>
      <c r="Z614" s="9">
        <f t="shared" si="48"/>
        <v>0</v>
      </c>
      <c r="AD614" s="9">
        <f t="shared" si="49"/>
        <v>0</v>
      </c>
    </row>
    <row r="615" spans="1:30" x14ac:dyDescent="0.4">
      <c r="A615"/>
      <c r="B615" s="9" t="str">
        <f t="shared" ca="1" si="45"/>
        <v/>
      </c>
      <c r="C615" t="str">
        <f t="shared" si="46"/>
        <v/>
      </c>
      <c r="T615" s="9">
        <f t="shared" si="47"/>
        <v>0</v>
      </c>
      <c r="Z615" s="9">
        <f t="shared" si="48"/>
        <v>0</v>
      </c>
      <c r="AD615" s="9">
        <f t="shared" si="49"/>
        <v>0</v>
      </c>
    </row>
    <row r="616" spans="1:30" x14ac:dyDescent="0.4">
      <c r="A616"/>
      <c r="B616" s="9" t="str">
        <f t="shared" ca="1" si="45"/>
        <v/>
      </c>
      <c r="C616" t="str">
        <f t="shared" si="46"/>
        <v/>
      </c>
      <c r="T616" s="9">
        <f t="shared" si="47"/>
        <v>0</v>
      </c>
      <c r="Z616" s="9">
        <f t="shared" si="48"/>
        <v>0</v>
      </c>
      <c r="AD616" s="9">
        <f t="shared" si="49"/>
        <v>0</v>
      </c>
    </row>
    <row r="617" spans="1:30" x14ac:dyDescent="0.4">
      <c r="A617"/>
      <c r="B617" s="9" t="str">
        <f t="shared" ca="1" si="45"/>
        <v/>
      </c>
      <c r="C617" t="str">
        <f t="shared" si="46"/>
        <v/>
      </c>
      <c r="T617" s="9">
        <f t="shared" si="47"/>
        <v>0</v>
      </c>
      <c r="Z617" s="9">
        <f t="shared" si="48"/>
        <v>0</v>
      </c>
      <c r="AD617" s="9">
        <f t="shared" si="49"/>
        <v>0</v>
      </c>
    </row>
    <row r="618" spans="1:30" x14ac:dyDescent="0.4">
      <c r="A618"/>
      <c r="B618" s="9" t="str">
        <f t="shared" ca="1" si="45"/>
        <v/>
      </c>
      <c r="C618" t="str">
        <f t="shared" si="46"/>
        <v/>
      </c>
      <c r="T618" s="9">
        <f t="shared" si="47"/>
        <v>0</v>
      </c>
      <c r="Z618" s="9">
        <f t="shared" si="48"/>
        <v>0</v>
      </c>
      <c r="AD618" s="9">
        <f t="shared" si="49"/>
        <v>0</v>
      </c>
    </row>
    <row r="619" spans="1:30" x14ac:dyDescent="0.4">
      <c r="A619"/>
      <c r="B619" s="9" t="str">
        <f t="shared" ca="1" si="45"/>
        <v/>
      </c>
      <c r="C619" t="str">
        <f t="shared" si="46"/>
        <v/>
      </c>
      <c r="T619" s="9">
        <f t="shared" si="47"/>
        <v>0</v>
      </c>
      <c r="Z619" s="9">
        <f t="shared" si="48"/>
        <v>0</v>
      </c>
      <c r="AD619" s="9">
        <f t="shared" si="49"/>
        <v>0</v>
      </c>
    </row>
    <row r="620" spans="1:30" x14ac:dyDescent="0.4">
      <c r="A620"/>
      <c r="B620" s="9" t="str">
        <f t="shared" ca="1" si="45"/>
        <v/>
      </c>
      <c r="C620" t="str">
        <f t="shared" si="46"/>
        <v/>
      </c>
      <c r="T620" s="9">
        <f t="shared" si="47"/>
        <v>0</v>
      </c>
      <c r="Z620" s="9">
        <f t="shared" si="48"/>
        <v>0</v>
      </c>
      <c r="AD620" s="9">
        <f t="shared" si="49"/>
        <v>0</v>
      </c>
    </row>
    <row r="621" spans="1:30" x14ac:dyDescent="0.4">
      <c r="A621"/>
      <c r="B621" s="9" t="str">
        <f t="shared" ca="1" si="45"/>
        <v/>
      </c>
      <c r="C621" t="str">
        <f t="shared" si="46"/>
        <v/>
      </c>
      <c r="T621" s="9">
        <f t="shared" si="47"/>
        <v>0</v>
      </c>
      <c r="Z621" s="9">
        <f t="shared" si="48"/>
        <v>0</v>
      </c>
      <c r="AD621" s="9">
        <f t="shared" si="49"/>
        <v>0</v>
      </c>
    </row>
    <row r="622" spans="1:30" x14ac:dyDescent="0.4">
      <c r="A622"/>
      <c r="B622" s="9" t="str">
        <f t="shared" ca="1" si="45"/>
        <v/>
      </c>
      <c r="C622" t="str">
        <f t="shared" si="46"/>
        <v/>
      </c>
      <c r="T622" s="9">
        <f t="shared" si="47"/>
        <v>0</v>
      </c>
      <c r="Z622" s="9">
        <f t="shared" si="48"/>
        <v>0</v>
      </c>
      <c r="AD622" s="9">
        <f t="shared" si="49"/>
        <v>0</v>
      </c>
    </row>
    <row r="623" spans="1:30" x14ac:dyDescent="0.4">
      <c r="A623"/>
      <c r="B623" s="9" t="str">
        <f t="shared" ca="1" si="45"/>
        <v/>
      </c>
      <c r="C623" t="str">
        <f t="shared" si="46"/>
        <v/>
      </c>
      <c r="T623" s="9">
        <f t="shared" si="47"/>
        <v>0</v>
      </c>
      <c r="Z623" s="9">
        <f t="shared" si="48"/>
        <v>0</v>
      </c>
      <c r="AD623" s="9">
        <f t="shared" si="49"/>
        <v>0</v>
      </c>
    </row>
    <row r="624" spans="1:30" x14ac:dyDescent="0.4">
      <c r="A624"/>
      <c r="B624" s="9" t="str">
        <f t="shared" ca="1" si="45"/>
        <v/>
      </c>
      <c r="C624" t="str">
        <f t="shared" si="46"/>
        <v/>
      </c>
      <c r="T624" s="9">
        <f t="shared" si="47"/>
        <v>0</v>
      </c>
      <c r="Z624" s="9">
        <f t="shared" si="48"/>
        <v>0</v>
      </c>
      <c r="AD624" s="9">
        <f t="shared" si="49"/>
        <v>0</v>
      </c>
    </row>
    <row r="625" spans="1:30" x14ac:dyDescent="0.4">
      <c r="A625"/>
      <c r="B625" s="9" t="str">
        <f t="shared" ca="1" si="45"/>
        <v/>
      </c>
      <c r="C625" t="str">
        <f t="shared" si="46"/>
        <v/>
      </c>
      <c r="T625" s="9">
        <f t="shared" si="47"/>
        <v>0</v>
      </c>
      <c r="Z625" s="9">
        <f t="shared" si="48"/>
        <v>0</v>
      </c>
      <c r="AD625" s="9">
        <f t="shared" si="49"/>
        <v>0</v>
      </c>
    </row>
    <row r="626" spans="1:30" x14ac:dyDescent="0.4">
      <c r="A626"/>
      <c r="B626" s="9" t="str">
        <f t="shared" ca="1" si="45"/>
        <v/>
      </c>
      <c r="C626" t="str">
        <f t="shared" si="46"/>
        <v/>
      </c>
      <c r="T626" s="9">
        <f t="shared" si="47"/>
        <v>0</v>
      </c>
      <c r="Z626" s="9">
        <f t="shared" si="48"/>
        <v>0</v>
      </c>
      <c r="AD626" s="9">
        <f t="shared" si="49"/>
        <v>0</v>
      </c>
    </row>
    <row r="627" spans="1:30" x14ac:dyDescent="0.4">
      <c r="A627"/>
      <c r="B627" s="9" t="str">
        <f t="shared" ca="1" si="45"/>
        <v/>
      </c>
      <c r="C627" t="str">
        <f t="shared" si="46"/>
        <v/>
      </c>
      <c r="T627" s="9">
        <f t="shared" si="47"/>
        <v>0</v>
      </c>
      <c r="Z627" s="9">
        <f t="shared" si="48"/>
        <v>0</v>
      </c>
      <c r="AD627" s="9">
        <f t="shared" si="49"/>
        <v>0</v>
      </c>
    </row>
    <row r="628" spans="1:30" x14ac:dyDescent="0.4">
      <c r="A628"/>
      <c r="B628" s="9" t="str">
        <f t="shared" ca="1" si="45"/>
        <v/>
      </c>
      <c r="C628" t="str">
        <f t="shared" si="46"/>
        <v/>
      </c>
      <c r="T628" s="9">
        <f t="shared" si="47"/>
        <v>0</v>
      </c>
      <c r="Z628" s="9">
        <f t="shared" si="48"/>
        <v>0</v>
      </c>
      <c r="AD628" s="9">
        <f t="shared" si="49"/>
        <v>0</v>
      </c>
    </row>
    <row r="629" spans="1:30" x14ac:dyDescent="0.4">
      <c r="A629"/>
      <c r="B629" s="9" t="str">
        <f t="shared" ca="1" si="45"/>
        <v/>
      </c>
      <c r="C629" t="str">
        <f t="shared" si="46"/>
        <v/>
      </c>
      <c r="T629" s="9">
        <f t="shared" si="47"/>
        <v>0</v>
      </c>
      <c r="Z629" s="9">
        <f t="shared" si="48"/>
        <v>0</v>
      </c>
      <c r="AD629" s="9">
        <f t="shared" si="49"/>
        <v>0</v>
      </c>
    </row>
    <row r="630" spans="1:30" x14ac:dyDescent="0.4">
      <c r="A630"/>
      <c r="B630" s="9" t="str">
        <f t="shared" ca="1" si="45"/>
        <v/>
      </c>
      <c r="C630" t="str">
        <f t="shared" si="46"/>
        <v/>
      </c>
      <c r="T630" s="9">
        <f t="shared" si="47"/>
        <v>0</v>
      </c>
      <c r="Z630" s="9">
        <f t="shared" si="48"/>
        <v>0</v>
      </c>
      <c r="AD630" s="9">
        <f t="shared" si="49"/>
        <v>0</v>
      </c>
    </row>
    <row r="631" spans="1:30" x14ac:dyDescent="0.4">
      <c r="A631"/>
      <c r="B631" s="9" t="str">
        <f t="shared" ca="1" si="45"/>
        <v/>
      </c>
      <c r="C631" t="str">
        <f t="shared" si="46"/>
        <v/>
      </c>
      <c r="T631" s="9">
        <f t="shared" si="47"/>
        <v>0</v>
      </c>
      <c r="Z631" s="9">
        <f t="shared" si="48"/>
        <v>0</v>
      </c>
      <c r="AD631" s="9">
        <f t="shared" si="49"/>
        <v>0</v>
      </c>
    </row>
    <row r="632" spans="1:30" x14ac:dyDescent="0.4">
      <c r="A632"/>
      <c r="B632" s="9" t="str">
        <f t="shared" ca="1" si="45"/>
        <v/>
      </c>
      <c r="C632" t="str">
        <f t="shared" si="46"/>
        <v/>
      </c>
      <c r="T632" s="9">
        <f t="shared" si="47"/>
        <v>0</v>
      </c>
      <c r="Z632" s="9">
        <f t="shared" si="48"/>
        <v>0</v>
      </c>
      <c r="AD632" s="9">
        <f t="shared" si="49"/>
        <v>0</v>
      </c>
    </row>
    <row r="633" spans="1:30" x14ac:dyDescent="0.4">
      <c r="A633"/>
      <c r="B633" s="9" t="str">
        <f t="shared" ca="1" si="45"/>
        <v/>
      </c>
      <c r="C633" t="str">
        <f t="shared" si="46"/>
        <v/>
      </c>
      <c r="T633" s="9">
        <f t="shared" si="47"/>
        <v>0</v>
      </c>
      <c r="Z633" s="9">
        <f t="shared" si="48"/>
        <v>0</v>
      </c>
      <c r="AD633" s="9">
        <f t="shared" si="49"/>
        <v>0</v>
      </c>
    </row>
    <row r="634" spans="1:30" x14ac:dyDescent="0.4">
      <c r="A634"/>
      <c r="B634" s="9" t="str">
        <f t="shared" ca="1" si="45"/>
        <v/>
      </c>
      <c r="C634" t="str">
        <f t="shared" si="46"/>
        <v/>
      </c>
      <c r="T634" s="9">
        <f t="shared" si="47"/>
        <v>0</v>
      </c>
      <c r="Z634" s="9">
        <f t="shared" si="48"/>
        <v>0</v>
      </c>
      <c r="AD634" s="9">
        <f t="shared" si="49"/>
        <v>0</v>
      </c>
    </row>
    <row r="635" spans="1:30" x14ac:dyDescent="0.4">
      <c r="A635"/>
      <c r="B635" s="9" t="str">
        <f t="shared" ca="1" si="45"/>
        <v/>
      </c>
      <c r="C635" t="str">
        <f t="shared" si="46"/>
        <v/>
      </c>
      <c r="T635" s="9">
        <f t="shared" si="47"/>
        <v>0</v>
      </c>
      <c r="Z635" s="9">
        <f t="shared" si="48"/>
        <v>0</v>
      </c>
      <c r="AD635" s="9">
        <f t="shared" si="49"/>
        <v>0</v>
      </c>
    </row>
    <row r="636" spans="1:30" x14ac:dyDescent="0.4">
      <c r="A636"/>
      <c r="B636" s="9" t="str">
        <f t="shared" ca="1" si="45"/>
        <v/>
      </c>
      <c r="C636" t="str">
        <f t="shared" si="46"/>
        <v/>
      </c>
      <c r="T636" s="9">
        <f t="shared" si="47"/>
        <v>0</v>
      </c>
      <c r="Z636" s="9">
        <f t="shared" si="48"/>
        <v>0</v>
      </c>
      <c r="AD636" s="9">
        <f t="shared" si="49"/>
        <v>0</v>
      </c>
    </row>
    <row r="637" spans="1:30" x14ac:dyDescent="0.4">
      <c r="A637"/>
      <c r="B637" s="9" t="str">
        <f t="shared" ca="1" si="45"/>
        <v/>
      </c>
      <c r="C637" t="str">
        <f t="shared" si="46"/>
        <v/>
      </c>
      <c r="T637" s="9">
        <f t="shared" si="47"/>
        <v>0</v>
      </c>
      <c r="Z637" s="9">
        <f t="shared" si="48"/>
        <v>0</v>
      </c>
      <c r="AD637" s="9">
        <f t="shared" si="49"/>
        <v>0</v>
      </c>
    </row>
    <row r="638" spans="1:30" x14ac:dyDescent="0.4">
      <c r="A638"/>
      <c r="B638" s="9" t="str">
        <f t="shared" ca="1" si="45"/>
        <v/>
      </c>
      <c r="C638" t="str">
        <f t="shared" si="46"/>
        <v/>
      </c>
      <c r="T638" s="9">
        <f t="shared" si="47"/>
        <v>0</v>
      </c>
      <c r="Z638" s="9">
        <f t="shared" si="48"/>
        <v>0</v>
      </c>
      <c r="AD638" s="9">
        <f t="shared" si="49"/>
        <v>0</v>
      </c>
    </row>
    <row r="639" spans="1:30" x14ac:dyDescent="0.4">
      <c r="A639"/>
      <c r="B639" s="9" t="str">
        <f t="shared" ca="1" si="45"/>
        <v/>
      </c>
      <c r="C639" t="str">
        <f t="shared" si="46"/>
        <v/>
      </c>
      <c r="T639" s="9">
        <f t="shared" si="47"/>
        <v>0</v>
      </c>
      <c r="Z639" s="9">
        <f t="shared" si="48"/>
        <v>0</v>
      </c>
      <c r="AD639" s="9">
        <f t="shared" si="49"/>
        <v>0</v>
      </c>
    </row>
    <row r="640" spans="1:30" x14ac:dyDescent="0.4">
      <c r="A640"/>
      <c r="B640" s="9" t="str">
        <f t="shared" ca="1" si="45"/>
        <v/>
      </c>
      <c r="C640" t="str">
        <f t="shared" si="46"/>
        <v/>
      </c>
      <c r="T640" s="9">
        <f t="shared" si="47"/>
        <v>0</v>
      </c>
      <c r="Z640" s="9">
        <f t="shared" si="48"/>
        <v>0</v>
      </c>
      <c r="AD640" s="9">
        <f t="shared" si="49"/>
        <v>0</v>
      </c>
    </row>
    <row r="641" spans="1:30" x14ac:dyDescent="0.4">
      <c r="A641"/>
      <c r="B641" s="9" t="str">
        <f t="shared" ca="1" si="45"/>
        <v/>
      </c>
      <c r="C641" t="str">
        <f t="shared" si="46"/>
        <v/>
      </c>
      <c r="T641" s="9">
        <f t="shared" si="47"/>
        <v>0</v>
      </c>
      <c r="Z641" s="9">
        <f t="shared" si="48"/>
        <v>0</v>
      </c>
      <c r="AD641" s="9">
        <f t="shared" si="49"/>
        <v>0</v>
      </c>
    </row>
    <row r="642" spans="1:30" x14ac:dyDescent="0.4">
      <c r="A642"/>
      <c r="B642" s="9" t="str">
        <f t="shared" ca="1" si="45"/>
        <v/>
      </c>
      <c r="C642" t="str">
        <f t="shared" si="46"/>
        <v/>
      </c>
      <c r="T642" s="9">
        <f t="shared" si="47"/>
        <v>0</v>
      </c>
      <c r="Z642" s="9">
        <f t="shared" si="48"/>
        <v>0</v>
      </c>
      <c r="AD642" s="9">
        <f t="shared" si="49"/>
        <v>0</v>
      </c>
    </row>
    <row r="643" spans="1:30" x14ac:dyDescent="0.4">
      <c r="A643"/>
      <c r="B643" s="9" t="str">
        <f t="shared" ref="B643:B706" ca="1" si="50">TEXT(IFERROR(LOOKUP(10^8,MID(A643,ROW(INDIRECT("1:"&amp;LEN(A643)-11)),8)+0),IF(A643="","",TRIM(RIGHT(SUBSTITUTE(LEFT(A643,LEN(A643)-4),"\",REPT(" ",50)),50)))),"00000000")</f>
        <v/>
      </c>
      <c r="C643" t="str">
        <f t="shared" ref="C643:C706" si="51">IF(A643="","",$J$1&amp;"\"&amp;A643)</f>
        <v/>
      </c>
      <c r="T643" s="9">
        <f t="shared" si="47"/>
        <v>0</v>
      </c>
      <c r="Z643" s="9">
        <f t="shared" si="48"/>
        <v>0</v>
      </c>
      <c r="AD643" s="9">
        <f t="shared" si="49"/>
        <v>0</v>
      </c>
    </row>
    <row r="644" spans="1:30" x14ac:dyDescent="0.4">
      <c r="A644"/>
      <c r="B644" s="9" t="str">
        <f t="shared" ca="1" si="50"/>
        <v/>
      </c>
      <c r="C644" t="str">
        <f t="shared" si="51"/>
        <v/>
      </c>
      <c r="T644" s="9">
        <f t="shared" si="47"/>
        <v>0</v>
      </c>
      <c r="Z644" s="9">
        <f t="shared" si="48"/>
        <v>0</v>
      </c>
      <c r="AD644" s="9">
        <f t="shared" si="49"/>
        <v>0</v>
      </c>
    </row>
    <row r="645" spans="1:30" x14ac:dyDescent="0.4">
      <c r="A645"/>
      <c r="B645" s="9" t="str">
        <f t="shared" ca="1" si="50"/>
        <v/>
      </c>
      <c r="C645" t="str">
        <f t="shared" si="51"/>
        <v/>
      </c>
      <c r="T645" s="9">
        <f t="shared" si="47"/>
        <v>0</v>
      </c>
      <c r="Z645" s="9">
        <f t="shared" si="48"/>
        <v>0</v>
      </c>
      <c r="AD645" s="9">
        <f t="shared" si="49"/>
        <v>0</v>
      </c>
    </row>
    <row r="646" spans="1:30" x14ac:dyDescent="0.4">
      <c r="A646"/>
      <c r="B646" s="9" t="str">
        <f t="shared" ca="1" si="50"/>
        <v/>
      </c>
      <c r="C646" t="str">
        <f t="shared" si="51"/>
        <v/>
      </c>
      <c r="T646" s="9">
        <f t="shared" si="47"/>
        <v>0</v>
      </c>
      <c r="Z646" s="9">
        <f t="shared" si="48"/>
        <v>0</v>
      </c>
      <c r="AD646" s="9">
        <f t="shared" si="49"/>
        <v>0</v>
      </c>
    </row>
    <row r="647" spans="1:30" x14ac:dyDescent="0.4">
      <c r="A647"/>
      <c r="B647" s="9" t="str">
        <f t="shared" ca="1" si="50"/>
        <v/>
      </c>
      <c r="C647" t="str">
        <f t="shared" si="51"/>
        <v/>
      </c>
      <c r="T647" s="9">
        <f t="shared" si="47"/>
        <v>0</v>
      </c>
      <c r="Z647" s="9">
        <f t="shared" si="48"/>
        <v>0</v>
      </c>
      <c r="AD647" s="9">
        <f t="shared" si="49"/>
        <v>0</v>
      </c>
    </row>
    <row r="648" spans="1:30" x14ac:dyDescent="0.4">
      <c r="A648"/>
      <c r="B648" s="9" t="str">
        <f t="shared" ca="1" si="50"/>
        <v/>
      </c>
      <c r="C648" t="str">
        <f t="shared" si="51"/>
        <v/>
      </c>
      <c r="T648" s="9">
        <f t="shared" ref="T648:T711" si="52">(COUNTIFS(TH_TK,N648,TH_DuNo,O648,TH_DuNoNT,P648,TH_DuCo,Q648,TH_DuCoNT,R648,TH_SoLuong,S648)&gt;0)*1</f>
        <v>0</v>
      </c>
      <c r="Z648" s="9">
        <f t="shared" ref="Z648:Z711" si="53">(COUNTIFS(NV,U648,TK,V648,TongNo,W648,TongCo,X648,SoLuong,Y648)&gt;0)*1</f>
        <v>0</v>
      </c>
      <c r="AD648" s="9">
        <f t="shared" ref="AD648:AD711" si="54">COUNTIFS(ReportType,AA648,ItemCode,AB648,Amount,AC648)</f>
        <v>0</v>
      </c>
    </row>
    <row r="649" spans="1:30" x14ac:dyDescent="0.4">
      <c r="A649"/>
      <c r="B649" s="9" t="str">
        <f t="shared" ca="1" si="50"/>
        <v/>
      </c>
      <c r="C649" t="str">
        <f t="shared" si="51"/>
        <v/>
      </c>
      <c r="T649" s="9">
        <f t="shared" si="52"/>
        <v>0</v>
      </c>
      <c r="Z649" s="9">
        <f t="shared" si="53"/>
        <v>0</v>
      </c>
      <c r="AD649" s="9">
        <f t="shared" si="54"/>
        <v>0</v>
      </c>
    </row>
    <row r="650" spans="1:30" x14ac:dyDescent="0.4">
      <c r="A650"/>
      <c r="B650" s="9" t="str">
        <f t="shared" ca="1" si="50"/>
        <v/>
      </c>
      <c r="C650" t="str">
        <f t="shared" si="51"/>
        <v/>
      </c>
      <c r="T650" s="9">
        <f t="shared" si="52"/>
        <v>0</v>
      </c>
      <c r="Z650" s="9">
        <f t="shared" si="53"/>
        <v>0</v>
      </c>
      <c r="AD650" s="9">
        <f t="shared" si="54"/>
        <v>0</v>
      </c>
    </row>
    <row r="651" spans="1:30" x14ac:dyDescent="0.4">
      <c r="A651"/>
      <c r="B651" s="9" t="str">
        <f t="shared" ca="1" si="50"/>
        <v/>
      </c>
      <c r="C651" t="str">
        <f t="shared" si="51"/>
        <v/>
      </c>
      <c r="T651" s="9">
        <f t="shared" si="52"/>
        <v>0</v>
      </c>
      <c r="Z651" s="9">
        <f t="shared" si="53"/>
        <v>0</v>
      </c>
      <c r="AD651" s="9">
        <f t="shared" si="54"/>
        <v>0</v>
      </c>
    </row>
    <row r="652" spans="1:30" x14ac:dyDescent="0.4">
      <c r="A652"/>
      <c r="B652" s="9" t="str">
        <f t="shared" ca="1" si="50"/>
        <v/>
      </c>
      <c r="C652" t="str">
        <f t="shared" si="51"/>
        <v/>
      </c>
      <c r="T652" s="9">
        <f t="shared" si="52"/>
        <v>0</v>
      </c>
      <c r="Z652" s="9">
        <f t="shared" si="53"/>
        <v>0</v>
      </c>
      <c r="AD652" s="9">
        <f t="shared" si="54"/>
        <v>0</v>
      </c>
    </row>
    <row r="653" spans="1:30" x14ac:dyDescent="0.4">
      <c r="A653"/>
      <c r="B653" s="9" t="str">
        <f t="shared" ca="1" si="50"/>
        <v/>
      </c>
      <c r="C653" t="str">
        <f t="shared" si="51"/>
        <v/>
      </c>
      <c r="T653" s="9">
        <f t="shared" si="52"/>
        <v>0</v>
      </c>
      <c r="Z653" s="9">
        <f t="shared" si="53"/>
        <v>0</v>
      </c>
      <c r="AD653" s="9">
        <f t="shared" si="54"/>
        <v>0</v>
      </c>
    </row>
    <row r="654" spans="1:30" x14ac:dyDescent="0.4">
      <c r="A654"/>
      <c r="B654" s="9" t="str">
        <f t="shared" ca="1" si="50"/>
        <v/>
      </c>
      <c r="C654" t="str">
        <f t="shared" si="51"/>
        <v/>
      </c>
      <c r="T654" s="9">
        <f t="shared" si="52"/>
        <v>0</v>
      </c>
      <c r="Z654" s="9">
        <f t="shared" si="53"/>
        <v>0</v>
      </c>
      <c r="AD654" s="9">
        <f t="shared" si="54"/>
        <v>0</v>
      </c>
    </row>
    <row r="655" spans="1:30" x14ac:dyDescent="0.4">
      <c r="A655"/>
      <c r="B655" s="9" t="str">
        <f t="shared" ca="1" si="50"/>
        <v/>
      </c>
      <c r="C655" t="str">
        <f t="shared" si="51"/>
        <v/>
      </c>
      <c r="T655" s="9">
        <f t="shared" si="52"/>
        <v>0</v>
      </c>
      <c r="Z655" s="9">
        <f t="shared" si="53"/>
        <v>0</v>
      </c>
      <c r="AD655" s="9">
        <f t="shared" si="54"/>
        <v>0</v>
      </c>
    </row>
    <row r="656" spans="1:30" x14ac:dyDescent="0.4">
      <c r="A656"/>
      <c r="B656" s="9" t="str">
        <f t="shared" ca="1" si="50"/>
        <v/>
      </c>
      <c r="C656" t="str">
        <f t="shared" si="51"/>
        <v/>
      </c>
      <c r="T656" s="9">
        <f t="shared" si="52"/>
        <v>0</v>
      </c>
      <c r="Z656" s="9">
        <f t="shared" si="53"/>
        <v>0</v>
      </c>
      <c r="AD656" s="9">
        <f t="shared" si="54"/>
        <v>0</v>
      </c>
    </row>
    <row r="657" spans="1:30" x14ac:dyDescent="0.4">
      <c r="A657"/>
      <c r="B657" s="9" t="str">
        <f t="shared" ca="1" si="50"/>
        <v/>
      </c>
      <c r="C657" t="str">
        <f t="shared" si="51"/>
        <v/>
      </c>
      <c r="T657" s="9">
        <f t="shared" si="52"/>
        <v>0</v>
      </c>
      <c r="Z657" s="9">
        <f t="shared" si="53"/>
        <v>0</v>
      </c>
      <c r="AD657" s="9">
        <f t="shared" si="54"/>
        <v>0</v>
      </c>
    </row>
    <row r="658" spans="1:30" x14ac:dyDescent="0.4">
      <c r="A658"/>
      <c r="B658" s="9" t="str">
        <f t="shared" ca="1" si="50"/>
        <v/>
      </c>
      <c r="C658" t="str">
        <f t="shared" si="51"/>
        <v/>
      </c>
      <c r="T658" s="9">
        <f t="shared" si="52"/>
        <v>0</v>
      </c>
      <c r="Z658" s="9">
        <f t="shared" si="53"/>
        <v>0</v>
      </c>
      <c r="AD658" s="9">
        <f t="shared" si="54"/>
        <v>0</v>
      </c>
    </row>
    <row r="659" spans="1:30" x14ac:dyDescent="0.4">
      <c r="A659"/>
      <c r="B659" s="9" t="str">
        <f t="shared" ca="1" si="50"/>
        <v/>
      </c>
      <c r="C659" t="str">
        <f t="shared" si="51"/>
        <v/>
      </c>
      <c r="T659" s="9">
        <f t="shared" si="52"/>
        <v>0</v>
      </c>
      <c r="Z659" s="9">
        <f t="shared" si="53"/>
        <v>0</v>
      </c>
      <c r="AD659" s="9">
        <f t="shared" si="54"/>
        <v>0</v>
      </c>
    </row>
    <row r="660" spans="1:30" x14ac:dyDescent="0.4">
      <c r="A660"/>
      <c r="B660" s="9" t="str">
        <f t="shared" ca="1" si="50"/>
        <v/>
      </c>
      <c r="C660" t="str">
        <f t="shared" si="51"/>
        <v/>
      </c>
      <c r="T660" s="9">
        <f t="shared" si="52"/>
        <v>0</v>
      </c>
      <c r="Z660" s="9">
        <f t="shared" si="53"/>
        <v>0</v>
      </c>
      <c r="AD660" s="9">
        <f t="shared" si="54"/>
        <v>0</v>
      </c>
    </row>
    <row r="661" spans="1:30" x14ac:dyDescent="0.4">
      <c r="A661"/>
      <c r="B661" s="9" t="str">
        <f t="shared" ca="1" si="50"/>
        <v/>
      </c>
      <c r="C661" t="str">
        <f t="shared" si="51"/>
        <v/>
      </c>
      <c r="T661" s="9">
        <f t="shared" si="52"/>
        <v>0</v>
      </c>
      <c r="Z661" s="9">
        <f t="shared" si="53"/>
        <v>0</v>
      </c>
      <c r="AD661" s="9">
        <f t="shared" si="54"/>
        <v>0</v>
      </c>
    </row>
    <row r="662" spans="1:30" x14ac:dyDescent="0.4">
      <c r="A662"/>
      <c r="B662" s="9" t="str">
        <f t="shared" ca="1" si="50"/>
        <v/>
      </c>
      <c r="C662" t="str">
        <f t="shared" si="51"/>
        <v/>
      </c>
      <c r="T662" s="9">
        <f t="shared" si="52"/>
        <v>0</v>
      </c>
      <c r="Z662" s="9">
        <f t="shared" si="53"/>
        <v>0</v>
      </c>
      <c r="AD662" s="9">
        <f t="shared" si="54"/>
        <v>0</v>
      </c>
    </row>
    <row r="663" spans="1:30" x14ac:dyDescent="0.4">
      <c r="A663"/>
      <c r="B663" s="9" t="str">
        <f t="shared" ca="1" si="50"/>
        <v/>
      </c>
      <c r="C663" t="str">
        <f t="shared" si="51"/>
        <v/>
      </c>
      <c r="T663" s="9">
        <f t="shared" si="52"/>
        <v>0</v>
      </c>
      <c r="Z663" s="9">
        <f t="shared" si="53"/>
        <v>0</v>
      </c>
      <c r="AD663" s="9">
        <f t="shared" si="54"/>
        <v>0</v>
      </c>
    </row>
    <row r="664" spans="1:30" x14ac:dyDescent="0.4">
      <c r="A664"/>
      <c r="B664" s="9" t="str">
        <f t="shared" ca="1" si="50"/>
        <v/>
      </c>
      <c r="C664" t="str">
        <f t="shared" si="51"/>
        <v/>
      </c>
      <c r="T664" s="9">
        <f t="shared" si="52"/>
        <v>0</v>
      </c>
      <c r="Z664" s="9">
        <f t="shared" si="53"/>
        <v>0</v>
      </c>
      <c r="AD664" s="9">
        <f t="shared" si="54"/>
        <v>0</v>
      </c>
    </row>
    <row r="665" spans="1:30" x14ac:dyDescent="0.4">
      <c r="A665"/>
      <c r="B665" s="9" t="str">
        <f t="shared" ca="1" si="50"/>
        <v/>
      </c>
      <c r="C665" t="str">
        <f t="shared" si="51"/>
        <v/>
      </c>
      <c r="T665" s="9">
        <f t="shared" si="52"/>
        <v>0</v>
      </c>
      <c r="Z665" s="9">
        <f t="shared" si="53"/>
        <v>0</v>
      </c>
      <c r="AD665" s="9">
        <f t="shared" si="54"/>
        <v>0</v>
      </c>
    </row>
    <row r="666" spans="1:30" x14ac:dyDescent="0.4">
      <c r="A666"/>
      <c r="B666" s="9" t="str">
        <f t="shared" ca="1" si="50"/>
        <v/>
      </c>
      <c r="C666" t="str">
        <f t="shared" si="51"/>
        <v/>
      </c>
      <c r="T666" s="9">
        <f t="shared" si="52"/>
        <v>0</v>
      </c>
      <c r="Z666" s="9">
        <f t="shared" si="53"/>
        <v>0</v>
      </c>
      <c r="AD666" s="9">
        <f t="shared" si="54"/>
        <v>0</v>
      </c>
    </row>
    <row r="667" spans="1:30" x14ac:dyDescent="0.4">
      <c r="A667"/>
      <c r="B667" s="9" t="str">
        <f t="shared" ca="1" si="50"/>
        <v/>
      </c>
      <c r="C667" t="str">
        <f t="shared" si="51"/>
        <v/>
      </c>
      <c r="T667" s="9">
        <f t="shared" si="52"/>
        <v>0</v>
      </c>
      <c r="Z667" s="9">
        <f t="shared" si="53"/>
        <v>0</v>
      </c>
      <c r="AD667" s="9">
        <f t="shared" si="54"/>
        <v>0</v>
      </c>
    </row>
    <row r="668" spans="1:30" x14ac:dyDescent="0.4">
      <c r="A668"/>
      <c r="B668" s="9" t="str">
        <f t="shared" ca="1" si="50"/>
        <v/>
      </c>
      <c r="C668" t="str">
        <f t="shared" si="51"/>
        <v/>
      </c>
      <c r="T668" s="9">
        <f t="shared" si="52"/>
        <v>0</v>
      </c>
      <c r="Z668" s="9">
        <f t="shared" si="53"/>
        <v>0</v>
      </c>
      <c r="AD668" s="9">
        <f t="shared" si="54"/>
        <v>0</v>
      </c>
    </row>
    <row r="669" spans="1:30" x14ac:dyDescent="0.4">
      <c r="A669"/>
      <c r="B669" s="9" t="str">
        <f t="shared" ca="1" si="50"/>
        <v/>
      </c>
      <c r="C669" t="str">
        <f t="shared" si="51"/>
        <v/>
      </c>
      <c r="T669" s="9">
        <f t="shared" si="52"/>
        <v>0</v>
      </c>
      <c r="Z669" s="9">
        <f t="shared" si="53"/>
        <v>0</v>
      </c>
      <c r="AD669" s="9">
        <f t="shared" si="54"/>
        <v>0</v>
      </c>
    </row>
    <row r="670" spans="1:30" x14ac:dyDescent="0.4">
      <c r="A670"/>
      <c r="B670" s="9" t="str">
        <f t="shared" ca="1" si="50"/>
        <v/>
      </c>
      <c r="C670" t="str">
        <f t="shared" si="51"/>
        <v/>
      </c>
      <c r="T670" s="9">
        <f t="shared" si="52"/>
        <v>0</v>
      </c>
      <c r="Z670" s="9">
        <f t="shared" si="53"/>
        <v>0</v>
      </c>
      <c r="AD670" s="9">
        <f t="shared" si="54"/>
        <v>0</v>
      </c>
    </row>
    <row r="671" spans="1:30" x14ac:dyDescent="0.4">
      <c r="A671"/>
      <c r="B671" s="9" t="str">
        <f t="shared" ca="1" si="50"/>
        <v/>
      </c>
      <c r="C671" t="str">
        <f t="shared" si="51"/>
        <v/>
      </c>
      <c r="T671" s="9">
        <f t="shared" si="52"/>
        <v>0</v>
      </c>
      <c r="Z671" s="9">
        <f t="shared" si="53"/>
        <v>0</v>
      </c>
      <c r="AD671" s="9">
        <f t="shared" si="54"/>
        <v>0</v>
      </c>
    </row>
    <row r="672" spans="1:30" x14ac:dyDescent="0.4">
      <c r="A672"/>
      <c r="B672" s="9" t="str">
        <f t="shared" ca="1" si="50"/>
        <v/>
      </c>
      <c r="C672" t="str">
        <f t="shared" si="51"/>
        <v/>
      </c>
      <c r="T672" s="9">
        <f t="shared" si="52"/>
        <v>0</v>
      </c>
      <c r="Z672" s="9">
        <f t="shared" si="53"/>
        <v>0</v>
      </c>
      <c r="AD672" s="9">
        <f t="shared" si="54"/>
        <v>0</v>
      </c>
    </row>
    <row r="673" spans="1:30" x14ac:dyDescent="0.4">
      <c r="A673"/>
      <c r="B673" s="9" t="str">
        <f t="shared" ca="1" si="50"/>
        <v/>
      </c>
      <c r="C673" t="str">
        <f t="shared" si="51"/>
        <v/>
      </c>
      <c r="T673" s="9">
        <f t="shared" si="52"/>
        <v>0</v>
      </c>
      <c r="Z673" s="9">
        <f t="shared" si="53"/>
        <v>0</v>
      </c>
      <c r="AD673" s="9">
        <f t="shared" si="54"/>
        <v>0</v>
      </c>
    </row>
    <row r="674" spans="1:30" x14ac:dyDescent="0.4">
      <c r="A674"/>
      <c r="B674" s="9" t="str">
        <f t="shared" ca="1" si="50"/>
        <v/>
      </c>
      <c r="C674" t="str">
        <f t="shared" si="51"/>
        <v/>
      </c>
      <c r="T674" s="9">
        <f t="shared" si="52"/>
        <v>0</v>
      </c>
      <c r="Z674" s="9">
        <f t="shared" si="53"/>
        <v>0</v>
      </c>
      <c r="AD674" s="9">
        <f t="shared" si="54"/>
        <v>0</v>
      </c>
    </row>
    <row r="675" spans="1:30" x14ac:dyDescent="0.4">
      <c r="A675"/>
      <c r="B675" s="9" t="str">
        <f t="shared" ca="1" si="50"/>
        <v/>
      </c>
      <c r="C675" t="str">
        <f t="shared" si="51"/>
        <v/>
      </c>
      <c r="T675" s="9">
        <f t="shared" si="52"/>
        <v>0</v>
      </c>
      <c r="Z675" s="9">
        <f t="shared" si="53"/>
        <v>0</v>
      </c>
      <c r="AD675" s="9">
        <f t="shared" si="54"/>
        <v>0</v>
      </c>
    </row>
    <row r="676" spans="1:30" x14ac:dyDescent="0.4">
      <c r="A676"/>
      <c r="B676" s="9" t="str">
        <f t="shared" ca="1" si="50"/>
        <v/>
      </c>
      <c r="C676" t="str">
        <f t="shared" si="51"/>
        <v/>
      </c>
      <c r="T676" s="9">
        <f t="shared" si="52"/>
        <v>0</v>
      </c>
      <c r="Z676" s="9">
        <f t="shared" si="53"/>
        <v>0</v>
      </c>
      <c r="AD676" s="9">
        <f t="shared" si="54"/>
        <v>0</v>
      </c>
    </row>
    <row r="677" spans="1:30" x14ac:dyDescent="0.4">
      <c r="A677"/>
      <c r="B677" s="9" t="str">
        <f t="shared" ca="1" si="50"/>
        <v/>
      </c>
      <c r="C677" t="str">
        <f t="shared" si="51"/>
        <v/>
      </c>
      <c r="T677" s="9">
        <f t="shared" si="52"/>
        <v>0</v>
      </c>
      <c r="Z677" s="9">
        <f t="shared" si="53"/>
        <v>0</v>
      </c>
      <c r="AD677" s="9">
        <f t="shared" si="54"/>
        <v>0</v>
      </c>
    </row>
    <row r="678" spans="1:30" x14ac:dyDescent="0.4">
      <c r="A678"/>
      <c r="B678" s="9" t="str">
        <f t="shared" ca="1" si="50"/>
        <v/>
      </c>
      <c r="C678" t="str">
        <f t="shared" si="51"/>
        <v/>
      </c>
      <c r="T678" s="9">
        <f t="shared" si="52"/>
        <v>0</v>
      </c>
      <c r="Z678" s="9">
        <f t="shared" si="53"/>
        <v>0</v>
      </c>
      <c r="AD678" s="9">
        <f t="shared" si="54"/>
        <v>0</v>
      </c>
    </row>
    <row r="679" spans="1:30" x14ac:dyDescent="0.4">
      <c r="A679"/>
      <c r="B679" s="9" t="str">
        <f t="shared" ca="1" si="50"/>
        <v/>
      </c>
      <c r="C679" t="str">
        <f t="shared" si="51"/>
        <v/>
      </c>
      <c r="T679" s="9">
        <f t="shared" si="52"/>
        <v>0</v>
      </c>
      <c r="Z679" s="9">
        <f t="shared" si="53"/>
        <v>0</v>
      </c>
      <c r="AD679" s="9">
        <f t="shared" si="54"/>
        <v>0</v>
      </c>
    </row>
    <row r="680" spans="1:30" x14ac:dyDescent="0.4">
      <c r="A680"/>
      <c r="B680" s="9" t="str">
        <f t="shared" ca="1" si="50"/>
        <v/>
      </c>
      <c r="C680" t="str">
        <f t="shared" si="51"/>
        <v/>
      </c>
      <c r="T680" s="9">
        <f t="shared" si="52"/>
        <v>0</v>
      </c>
      <c r="Z680" s="9">
        <f t="shared" si="53"/>
        <v>0</v>
      </c>
      <c r="AD680" s="9">
        <f t="shared" si="54"/>
        <v>0</v>
      </c>
    </row>
    <row r="681" spans="1:30" x14ac:dyDescent="0.4">
      <c r="A681"/>
      <c r="B681" s="9" t="str">
        <f t="shared" ca="1" si="50"/>
        <v/>
      </c>
      <c r="C681" t="str">
        <f t="shared" si="51"/>
        <v/>
      </c>
      <c r="T681" s="9">
        <f t="shared" si="52"/>
        <v>0</v>
      </c>
      <c r="Z681" s="9">
        <f t="shared" si="53"/>
        <v>0</v>
      </c>
      <c r="AD681" s="9">
        <f t="shared" si="54"/>
        <v>0</v>
      </c>
    </row>
    <row r="682" spans="1:30" x14ac:dyDescent="0.4">
      <c r="A682"/>
      <c r="B682" s="9" t="str">
        <f t="shared" ca="1" si="50"/>
        <v/>
      </c>
      <c r="C682" t="str">
        <f t="shared" si="51"/>
        <v/>
      </c>
      <c r="T682" s="9">
        <f t="shared" si="52"/>
        <v>0</v>
      </c>
      <c r="Z682" s="9">
        <f t="shared" si="53"/>
        <v>0</v>
      </c>
      <c r="AD682" s="9">
        <f t="shared" si="54"/>
        <v>0</v>
      </c>
    </row>
    <row r="683" spans="1:30" x14ac:dyDescent="0.4">
      <c r="A683"/>
      <c r="B683" s="9" t="str">
        <f t="shared" ca="1" si="50"/>
        <v/>
      </c>
      <c r="C683" t="str">
        <f t="shared" si="51"/>
        <v/>
      </c>
      <c r="T683" s="9">
        <f t="shared" si="52"/>
        <v>0</v>
      </c>
      <c r="Z683" s="9">
        <f t="shared" si="53"/>
        <v>0</v>
      </c>
      <c r="AD683" s="9">
        <f t="shared" si="54"/>
        <v>0</v>
      </c>
    </row>
    <row r="684" spans="1:30" x14ac:dyDescent="0.4">
      <c r="A684"/>
      <c r="B684" s="9" t="str">
        <f t="shared" ca="1" si="50"/>
        <v/>
      </c>
      <c r="C684" t="str">
        <f t="shared" si="51"/>
        <v/>
      </c>
      <c r="T684" s="9">
        <f t="shared" si="52"/>
        <v>0</v>
      </c>
      <c r="Z684" s="9">
        <f t="shared" si="53"/>
        <v>0</v>
      </c>
      <c r="AD684" s="9">
        <f t="shared" si="54"/>
        <v>0</v>
      </c>
    </row>
    <row r="685" spans="1:30" x14ac:dyDescent="0.4">
      <c r="A685"/>
      <c r="B685" s="9" t="str">
        <f t="shared" ca="1" si="50"/>
        <v/>
      </c>
      <c r="C685" t="str">
        <f t="shared" si="51"/>
        <v/>
      </c>
      <c r="T685" s="9">
        <f t="shared" si="52"/>
        <v>0</v>
      </c>
      <c r="Z685" s="9">
        <f t="shared" si="53"/>
        <v>0</v>
      </c>
      <c r="AD685" s="9">
        <f t="shared" si="54"/>
        <v>0</v>
      </c>
    </row>
    <row r="686" spans="1:30" x14ac:dyDescent="0.4">
      <c r="A686"/>
      <c r="B686" s="9" t="str">
        <f t="shared" ca="1" si="50"/>
        <v/>
      </c>
      <c r="C686" t="str">
        <f t="shared" si="51"/>
        <v/>
      </c>
      <c r="T686" s="9">
        <f t="shared" si="52"/>
        <v>0</v>
      </c>
      <c r="Z686" s="9">
        <f t="shared" si="53"/>
        <v>0</v>
      </c>
      <c r="AD686" s="9">
        <f t="shared" si="54"/>
        <v>0</v>
      </c>
    </row>
    <row r="687" spans="1:30" x14ac:dyDescent="0.4">
      <c r="A687"/>
      <c r="B687" s="9" t="str">
        <f t="shared" ca="1" si="50"/>
        <v/>
      </c>
      <c r="C687" t="str">
        <f t="shared" si="51"/>
        <v/>
      </c>
      <c r="T687" s="9">
        <f t="shared" si="52"/>
        <v>0</v>
      </c>
      <c r="Z687" s="9">
        <f t="shared" si="53"/>
        <v>0</v>
      </c>
      <c r="AD687" s="9">
        <f t="shared" si="54"/>
        <v>0</v>
      </c>
    </row>
    <row r="688" spans="1:30" x14ac:dyDescent="0.4">
      <c r="A688"/>
      <c r="B688" s="9" t="str">
        <f t="shared" ca="1" si="50"/>
        <v/>
      </c>
      <c r="C688" t="str">
        <f t="shared" si="51"/>
        <v/>
      </c>
      <c r="T688" s="9">
        <f t="shared" si="52"/>
        <v>0</v>
      </c>
      <c r="Z688" s="9">
        <f t="shared" si="53"/>
        <v>0</v>
      </c>
      <c r="AD688" s="9">
        <f t="shared" si="54"/>
        <v>0</v>
      </c>
    </row>
    <row r="689" spans="1:30" x14ac:dyDescent="0.4">
      <c r="A689"/>
      <c r="B689" s="9" t="str">
        <f t="shared" ca="1" si="50"/>
        <v/>
      </c>
      <c r="C689" t="str">
        <f t="shared" si="51"/>
        <v/>
      </c>
      <c r="T689" s="9">
        <f t="shared" si="52"/>
        <v>0</v>
      </c>
      <c r="Z689" s="9">
        <f t="shared" si="53"/>
        <v>0</v>
      </c>
      <c r="AD689" s="9">
        <f t="shared" si="54"/>
        <v>0</v>
      </c>
    </row>
    <row r="690" spans="1:30" x14ac:dyDescent="0.4">
      <c r="A690"/>
      <c r="B690" s="9" t="str">
        <f t="shared" ca="1" si="50"/>
        <v/>
      </c>
      <c r="C690" t="str">
        <f t="shared" si="51"/>
        <v/>
      </c>
      <c r="T690" s="9">
        <f t="shared" si="52"/>
        <v>0</v>
      </c>
      <c r="Z690" s="9">
        <f t="shared" si="53"/>
        <v>0</v>
      </c>
      <c r="AD690" s="9">
        <f t="shared" si="54"/>
        <v>0</v>
      </c>
    </row>
    <row r="691" spans="1:30" x14ac:dyDescent="0.4">
      <c r="A691"/>
      <c r="B691" s="9" t="str">
        <f t="shared" ca="1" si="50"/>
        <v/>
      </c>
      <c r="C691" t="str">
        <f t="shared" si="51"/>
        <v/>
      </c>
      <c r="T691" s="9">
        <f t="shared" si="52"/>
        <v>0</v>
      </c>
      <c r="Z691" s="9">
        <f t="shared" si="53"/>
        <v>0</v>
      </c>
      <c r="AD691" s="9">
        <f t="shared" si="54"/>
        <v>0</v>
      </c>
    </row>
    <row r="692" spans="1:30" x14ac:dyDescent="0.4">
      <c r="A692"/>
      <c r="B692" s="9" t="str">
        <f t="shared" ca="1" si="50"/>
        <v/>
      </c>
      <c r="C692" t="str">
        <f t="shared" si="51"/>
        <v/>
      </c>
      <c r="T692" s="9">
        <f t="shared" si="52"/>
        <v>0</v>
      </c>
      <c r="Z692" s="9">
        <f t="shared" si="53"/>
        <v>0</v>
      </c>
      <c r="AD692" s="9">
        <f t="shared" si="54"/>
        <v>0</v>
      </c>
    </row>
    <row r="693" spans="1:30" x14ac:dyDescent="0.4">
      <c r="A693"/>
      <c r="B693" s="9" t="str">
        <f t="shared" ca="1" si="50"/>
        <v/>
      </c>
      <c r="C693" t="str">
        <f t="shared" si="51"/>
        <v/>
      </c>
      <c r="T693" s="9">
        <f t="shared" si="52"/>
        <v>0</v>
      </c>
      <c r="Z693" s="9">
        <f t="shared" si="53"/>
        <v>0</v>
      </c>
      <c r="AD693" s="9">
        <f t="shared" si="54"/>
        <v>0</v>
      </c>
    </row>
    <row r="694" spans="1:30" x14ac:dyDescent="0.4">
      <c r="A694"/>
      <c r="B694" s="9" t="str">
        <f t="shared" ca="1" si="50"/>
        <v/>
      </c>
      <c r="C694" t="str">
        <f t="shared" si="51"/>
        <v/>
      </c>
      <c r="T694" s="9">
        <f t="shared" si="52"/>
        <v>0</v>
      </c>
      <c r="Z694" s="9">
        <f t="shared" si="53"/>
        <v>0</v>
      </c>
      <c r="AD694" s="9">
        <f t="shared" si="54"/>
        <v>0</v>
      </c>
    </row>
    <row r="695" spans="1:30" x14ac:dyDescent="0.4">
      <c r="A695"/>
      <c r="B695" s="9" t="str">
        <f t="shared" ca="1" si="50"/>
        <v/>
      </c>
      <c r="C695" t="str">
        <f t="shared" si="51"/>
        <v/>
      </c>
      <c r="T695" s="9">
        <f t="shared" si="52"/>
        <v>0</v>
      </c>
      <c r="Z695" s="9">
        <f t="shared" si="53"/>
        <v>0</v>
      </c>
      <c r="AD695" s="9">
        <f t="shared" si="54"/>
        <v>0</v>
      </c>
    </row>
    <row r="696" spans="1:30" x14ac:dyDescent="0.4">
      <c r="A696"/>
      <c r="B696" s="9" t="str">
        <f t="shared" ca="1" si="50"/>
        <v/>
      </c>
      <c r="C696" t="str">
        <f t="shared" si="51"/>
        <v/>
      </c>
      <c r="T696" s="9">
        <f t="shared" si="52"/>
        <v>0</v>
      </c>
      <c r="Z696" s="9">
        <f t="shared" si="53"/>
        <v>0</v>
      </c>
      <c r="AD696" s="9">
        <f t="shared" si="54"/>
        <v>0</v>
      </c>
    </row>
    <row r="697" spans="1:30" x14ac:dyDescent="0.4">
      <c r="A697"/>
      <c r="B697" s="9" t="str">
        <f t="shared" ca="1" si="50"/>
        <v/>
      </c>
      <c r="C697" t="str">
        <f t="shared" si="51"/>
        <v/>
      </c>
      <c r="T697" s="9">
        <f t="shared" si="52"/>
        <v>0</v>
      </c>
      <c r="Z697" s="9">
        <f t="shared" si="53"/>
        <v>0</v>
      </c>
      <c r="AD697" s="9">
        <f t="shared" si="54"/>
        <v>0</v>
      </c>
    </row>
    <row r="698" spans="1:30" x14ac:dyDescent="0.4">
      <c r="A698"/>
      <c r="B698" s="9" t="str">
        <f t="shared" ca="1" si="50"/>
        <v/>
      </c>
      <c r="C698" t="str">
        <f t="shared" si="51"/>
        <v/>
      </c>
      <c r="T698" s="9">
        <f t="shared" si="52"/>
        <v>0</v>
      </c>
      <c r="Z698" s="9">
        <f t="shared" si="53"/>
        <v>0</v>
      </c>
      <c r="AD698" s="9">
        <f t="shared" si="54"/>
        <v>0</v>
      </c>
    </row>
    <row r="699" spans="1:30" x14ac:dyDescent="0.4">
      <c r="A699"/>
      <c r="B699" s="9" t="str">
        <f t="shared" ca="1" si="50"/>
        <v/>
      </c>
      <c r="C699" t="str">
        <f t="shared" si="51"/>
        <v/>
      </c>
      <c r="T699" s="9">
        <f t="shared" si="52"/>
        <v>0</v>
      </c>
      <c r="Z699" s="9">
        <f t="shared" si="53"/>
        <v>0</v>
      </c>
      <c r="AD699" s="9">
        <f t="shared" si="54"/>
        <v>0</v>
      </c>
    </row>
    <row r="700" spans="1:30" x14ac:dyDescent="0.4">
      <c r="A700"/>
      <c r="B700" s="9" t="str">
        <f t="shared" ca="1" si="50"/>
        <v/>
      </c>
      <c r="C700" t="str">
        <f t="shared" si="51"/>
        <v/>
      </c>
      <c r="T700" s="9">
        <f t="shared" si="52"/>
        <v>0</v>
      </c>
      <c r="Z700" s="9">
        <f t="shared" si="53"/>
        <v>0</v>
      </c>
      <c r="AD700" s="9">
        <f t="shared" si="54"/>
        <v>0</v>
      </c>
    </row>
    <row r="701" spans="1:30" x14ac:dyDescent="0.4">
      <c r="A701"/>
      <c r="B701" s="9" t="str">
        <f t="shared" ca="1" si="50"/>
        <v/>
      </c>
      <c r="C701" t="str">
        <f t="shared" si="51"/>
        <v/>
      </c>
      <c r="T701" s="9">
        <f t="shared" si="52"/>
        <v>0</v>
      </c>
      <c r="Z701" s="9">
        <f t="shared" si="53"/>
        <v>0</v>
      </c>
      <c r="AD701" s="9">
        <f t="shared" si="54"/>
        <v>0</v>
      </c>
    </row>
    <row r="702" spans="1:30" x14ac:dyDescent="0.4">
      <c r="A702"/>
      <c r="B702" s="9" t="str">
        <f t="shared" ca="1" si="50"/>
        <v/>
      </c>
      <c r="C702" t="str">
        <f t="shared" si="51"/>
        <v/>
      </c>
      <c r="T702" s="9">
        <f t="shared" si="52"/>
        <v>0</v>
      </c>
      <c r="Z702" s="9">
        <f t="shared" si="53"/>
        <v>0</v>
      </c>
      <c r="AD702" s="9">
        <f t="shared" si="54"/>
        <v>0</v>
      </c>
    </row>
    <row r="703" spans="1:30" x14ac:dyDescent="0.4">
      <c r="A703"/>
      <c r="B703" s="9" t="str">
        <f t="shared" ca="1" si="50"/>
        <v/>
      </c>
      <c r="C703" t="str">
        <f t="shared" si="51"/>
        <v/>
      </c>
      <c r="T703" s="9">
        <f t="shared" si="52"/>
        <v>0</v>
      </c>
      <c r="Z703" s="9">
        <f t="shared" si="53"/>
        <v>0</v>
      </c>
      <c r="AD703" s="9">
        <f t="shared" si="54"/>
        <v>0</v>
      </c>
    </row>
    <row r="704" spans="1:30" x14ac:dyDescent="0.4">
      <c r="A704"/>
      <c r="B704" s="9" t="str">
        <f t="shared" ca="1" si="50"/>
        <v/>
      </c>
      <c r="C704" t="str">
        <f t="shared" si="51"/>
        <v/>
      </c>
      <c r="T704" s="9">
        <f t="shared" si="52"/>
        <v>0</v>
      </c>
      <c r="Z704" s="9">
        <f t="shared" si="53"/>
        <v>0</v>
      </c>
      <c r="AD704" s="9">
        <f t="shared" si="54"/>
        <v>0</v>
      </c>
    </row>
    <row r="705" spans="1:30" x14ac:dyDescent="0.4">
      <c r="A705"/>
      <c r="B705" s="9" t="str">
        <f t="shared" ca="1" si="50"/>
        <v/>
      </c>
      <c r="C705" t="str">
        <f t="shared" si="51"/>
        <v/>
      </c>
      <c r="T705" s="9">
        <f t="shared" si="52"/>
        <v>0</v>
      </c>
      <c r="Z705" s="9">
        <f t="shared" si="53"/>
        <v>0</v>
      </c>
      <c r="AD705" s="9">
        <f t="shared" si="54"/>
        <v>0</v>
      </c>
    </row>
    <row r="706" spans="1:30" x14ac:dyDescent="0.4">
      <c r="A706"/>
      <c r="B706" s="9" t="str">
        <f t="shared" ca="1" si="50"/>
        <v/>
      </c>
      <c r="C706" t="str">
        <f t="shared" si="51"/>
        <v/>
      </c>
      <c r="T706" s="9">
        <f t="shared" si="52"/>
        <v>0</v>
      </c>
      <c r="Z706" s="9">
        <f t="shared" si="53"/>
        <v>0</v>
      </c>
      <c r="AD706" s="9">
        <f t="shared" si="54"/>
        <v>0</v>
      </c>
    </row>
    <row r="707" spans="1:30" x14ac:dyDescent="0.4">
      <c r="A707"/>
      <c r="B707" s="9" t="str">
        <f t="shared" ref="B707:B770" ca="1" si="55">TEXT(IFERROR(LOOKUP(10^8,MID(A707,ROW(INDIRECT("1:"&amp;LEN(A707)-11)),8)+0),IF(A707="","",TRIM(RIGHT(SUBSTITUTE(LEFT(A707,LEN(A707)-4),"\",REPT(" ",50)),50)))),"00000000")</f>
        <v/>
      </c>
      <c r="C707" t="str">
        <f t="shared" ref="C707:C770" si="56">IF(A707="","",$J$1&amp;"\"&amp;A707)</f>
        <v/>
      </c>
      <c r="T707" s="9">
        <f t="shared" si="52"/>
        <v>0</v>
      </c>
      <c r="Z707" s="9">
        <f t="shared" si="53"/>
        <v>0</v>
      </c>
      <c r="AD707" s="9">
        <f t="shared" si="54"/>
        <v>0</v>
      </c>
    </row>
    <row r="708" spans="1:30" x14ac:dyDescent="0.4">
      <c r="A708"/>
      <c r="B708" s="9" t="str">
        <f t="shared" ca="1" si="55"/>
        <v/>
      </c>
      <c r="C708" t="str">
        <f t="shared" si="56"/>
        <v/>
      </c>
      <c r="T708" s="9">
        <f t="shared" si="52"/>
        <v>0</v>
      </c>
      <c r="Z708" s="9">
        <f t="shared" si="53"/>
        <v>0</v>
      </c>
      <c r="AD708" s="9">
        <f t="shared" si="54"/>
        <v>0</v>
      </c>
    </row>
    <row r="709" spans="1:30" x14ac:dyDescent="0.4">
      <c r="A709"/>
      <c r="B709" s="9" t="str">
        <f t="shared" ca="1" si="55"/>
        <v/>
      </c>
      <c r="C709" t="str">
        <f t="shared" si="56"/>
        <v/>
      </c>
      <c r="T709" s="9">
        <f t="shared" si="52"/>
        <v>0</v>
      </c>
      <c r="Z709" s="9">
        <f t="shared" si="53"/>
        <v>0</v>
      </c>
      <c r="AD709" s="9">
        <f t="shared" si="54"/>
        <v>0</v>
      </c>
    </row>
    <row r="710" spans="1:30" x14ac:dyDescent="0.4">
      <c r="A710"/>
      <c r="B710" s="9" t="str">
        <f t="shared" ca="1" si="55"/>
        <v/>
      </c>
      <c r="C710" t="str">
        <f t="shared" si="56"/>
        <v/>
      </c>
      <c r="T710" s="9">
        <f t="shared" si="52"/>
        <v>0</v>
      </c>
      <c r="Z710" s="9">
        <f t="shared" si="53"/>
        <v>0</v>
      </c>
      <c r="AD710" s="9">
        <f t="shared" si="54"/>
        <v>0</v>
      </c>
    </row>
    <row r="711" spans="1:30" x14ac:dyDescent="0.4">
      <c r="A711"/>
      <c r="B711" s="9" t="str">
        <f t="shared" ca="1" si="55"/>
        <v/>
      </c>
      <c r="C711" t="str">
        <f t="shared" si="56"/>
        <v/>
      </c>
      <c r="T711" s="9">
        <f t="shared" si="52"/>
        <v>0</v>
      </c>
      <c r="Z711" s="9">
        <f t="shared" si="53"/>
        <v>0</v>
      </c>
      <c r="AD711" s="9">
        <f t="shared" si="54"/>
        <v>0</v>
      </c>
    </row>
    <row r="712" spans="1:30" x14ac:dyDescent="0.4">
      <c r="A712"/>
      <c r="B712" s="9" t="str">
        <f t="shared" ca="1" si="55"/>
        <v/>
      </c>
      <c r="C712" t="str">
        <f t="shared" si="56"/>
        <v/>
      </c>
      <c r="T712" s="9">
        <f t="shared" ref="T712:T775" si="57">(COUNTIFS(TH_TK,N712,TH_DuNo,O712,TH_DuNoNT,P712,TH_DuCo,Q712,TH_DuCoNT,R712,TH_SoLuong,S712)&gt;0)*1</f>
        <v>0</v>
      </c>
      <c r="Z712" s="9">
        <f t="shared" ref="Z712:Z775" si="58">(COUNTIFS(NV,U712,TK,V712,TongNo,W712,TongCo,X712,SoLuong,Y712)&gt;0)*1</f>
        <v>0</v>
      </c>
      <c r="AD712" s="9">
        <f t="shared" ref="AD712:AD775" si="59">COUNTIFS(ReportType,AA712,ItemCode,AB712,Amount,AC712)</f>
        <v>0</v>
      </c>
    </row>
    <row r="713" spans="1:30" x14ac:dyDescent="0.4">
      <c r="A713"/>
      <c r="B713" s="9" t="str">
        <f t="shared" ca="1" si="55"/>
        <v/>
      </c>
      <c r="C713" t="str">
        <f t="shared" si="56"/>
        <v/>
      </c>
      <c r="T713" s="9">
        <f t="shared" si="57"/>
        <v>0</v>
      </c>
      <c r="Z713" s="9">
        <f t="shared" si="58"/>
        <v>0</v>
      </c>
      <c r="AD713" s="9">
        <f t="shared" si="59"/>
        <v>0</v>
      </c>
    </row>
    <row r="714" spans="1:30" x14ac:dyDescent="0.4">
      <c r="A714"/>
      <c r="B714" s="9" t="str">
        <f t="shared" ca="1" si="55"/>
        <v/>
      </c>
      <c r="C714" t="str">
        <f t="shared" si="56"/>
        <v/>
      </c>
      <c r="T714" s="9">
        <f t="shared" si="57"/>
        <v>0</v>
      </c>
      <c r="Z714" s="9">
        <f t="shared" si="58"/>
        <v>0</v>
      </c>
      <c r="AD714" s="9">
        <f t="shared" si="59"/>
        <v>0</v>
      </c>
    </row>
    <row r="715" spans="1:30" x14ac:dyDescent="0.4">
      <c r="A715"/>
      <c r="B715" s="9" t="str">
        <f t="shared" ca="1" si="55"/>
        <v/>
      </c>
      <c r="C715" t="str">
        <f t="shared" si="56"/>
        <v/>
      </c>
      <c r="T715" s="9">
        <f t="shared" si="57"/>
        <v>0</v>
      </c>
      <c r="Z715" s="9">
        <f t="shared" si="58"/>
        <v>0</v>
      </c>
      <c r="AD715" s="9">
        <f t="shared" si="59"/>
        <v>0</v>
      </c>
    </row>
    <row r="716" spans="1:30" x14ac:dyDescent="0.4">
      <c r="A716"/>
      <c r="B716" s="9" t="str">
        <f t="shared" ca="1" si="55"/>
        <v/>
      </c>
      <c r="C716" t="str">
        <f t="shared" si="56"/>
        <v/>
      </c>
      <c r="T716" s="9">
        <f t="shared" si="57"/>
        <v>0</v>
      </c>
      <c r="Z716" s="9">
        <f t="shared" si="58"/>
        <v>0</v>
      </c>
      <c r="AD716" s="9">
        <f t="shared" si="59"/>
        <v>0</v>
      </c>
    </row>
    <row r="717" spans="1:30" x14ac:dyDescent="0.4">
      <c r="A717"/>
      <c r="B717" s="9" t="str">
        <f t="shared" ca="1" si="55"/>
        <v/>
      </c>
      <c r="C717" t="str">
        <f t="shared" si="56"/>
        <v/>
      </c>
      <c r="T717" s="9">
        <f t="shared" si="57"/>
        <v>0</v>
      </c>
      <c r="Z717" s="9">
        <f t="shared" si="58"/>
        <v>0</v>
      </c>
      <c r="AD717" s="9">
        <f t="shared" si="59"/>
        <v>0</v>
      </c>
    </row>
    <row r="718" spans="1:30" x14ac:dyDescent="0.4">
      <c r="A718"/>
      <c r="B718" s="9" t="str">
        <f t="shared" ca="1" si="55"/>
        <v/>
      </c>
      <c r="C718" t="str">
        <f t="shared" si="56"/>
        <v/>
      </c>
      <c r="T718" s="9">
        <f t="shared" si="57"/>
        <v>0</v>
      </c>
      <c r="Z718" s="9">
        <f t="shared" si="58"/>
        <v>0</v>
      </c>
      <c r="AD718" s="9">
        <f t="shared" si="59"/>
        <v>0</v>
      </c>
    </row>
    <row r="719" spans="1:30" x14ac:dyDescent="0.4">
      <c r="A719"/>
      <c r="B719" s="9" t="str">
        <f t="shared" ca="1" si="55"/>
        <v/>
      </c>
      <c r="C719" t="str">
        <f t="shared" si="56"/>
        <v/>
      </c>
      <c r="T719" s="9">
        <f t="shared" si="57"/>
        <v>0</v>
      </c>
      <c r="Z719" s="9">
        <f t="shared" si="58"/>
        <v>0</v>
      </c>
      <c r="AD719" s="9">
        <f t="shared" si="59"/>
        <v>0</v>
      </c>
    </row>
    <row r="720" spans="1:30" x14ac:dyDescent="0.4">
      <c r="A720"/>
      <c r="B720" s="9" t="str">
        <f t="shared" ca="1" si="55"/>
        <v/>
      </c>
      <c r="C720" t="str">
        <f t="shared" si="56"/>
        <v/>
      </c>
      <c r="T720" s="9">
        <f t="shared" si="57"/>
        <v>0</v>
      </c>
      <c r="Z720" s="9">
        <f t="shared" si="58"/>
        <v>0</v>
      </c>
      <c r="AD720" s="9">
        <f t="shared" si="59"/>
        <v>0</v>
      </c>
    </row>
    <row r="721" spans="1:30" x14ac:dyDescent="0.4">
      <c r="A721"/>
      <c r="B721" s="9" t="str">
        <f t="shared" ca="1" si="55"/>
        <v/>
      </c>
      <c r="C721" t="str">
        <f t="shared" si="56"/>
        <v/>
      </c>
      <c r="T721" s="9">
        <f t="shared" si="57"/>
        <v>0</v>
      </c>
      <c r="Z721" s="9">
        <f t="shared" si="58"/>
        <v>0</v>
      </c>
      <c r="AD721" s="9">
        <f t="shared" si="59"/>
        <v>0</v>
      </c>
    </row>
    <row r="722" spans="1:30" x14ac:dyDescent="0.4">
      <c r="A722"/>
      <c r="B722" s="9" t="str">
        <f t="shared" ca="1" si="55"/>
        <v/>
      </c>
      <c r="C722" t="str">
        <f t="shared" si="56"/>
        <v/>
      </c>
      <c r="T722" s="9">
        <f t="shared" si="57"/>
        <v>0</v>
      </c>
      <c r="Z722" s="9">
        <f t="shared" si="58"/>
        <v>0</v>
      </c>
      <c r="AD722" s="9">
        <f t="shared" si="59"/>
        <v>0</v>
      </c>
    </row>
    <row r="723" spans="1:30" x14ac:dyDescent="0.4">
      <c r="A723"/>
      <c r="B723" s="9" t="str">
        <f t="shared" ca="1" si="55"/>
        <v/>
      </c>
      <c r="C723" t="str">
        <f t="shared" si="56"/>
        <v/>
      </c>
      <c r="T723" s="9">
        <f t="shared" si="57"/>
        <v>0</v>
      </c>
      <c r="Z723" s="9">
        <f t="shared" si="58"/>
        <v>0</v>
      </c>
      <c r="AD723" s="9">
        <f t="shared" si="59"/>
        <v>0</v>
      </c>
    </row>
    <row r="724" spans="1:30" x14ac:dyDescent="0.4">
      <c r="A724"/>
      <c r="B724" s="9" t="str">
        <f t="shared" ca="1" si="55"/>
        <v/>
      </c>
      <c r="C724" t="str">
        <f t="shared" si="56"/>
        <v/>
      </c>
      <c r="T724" s="9">
        <f t="shared" si="57"/>
        <v>0</v>
      </c>
      <c r="Z724" s="9">
        <f t="shared" si="58"/>
        <v>0</v>
      </c>
      <c r="AD724" s="9">
        <f t="shared" si="59"/>
        <v>0</v>
      </c>
    </row>
    <row r="725" spans="1:30" x14ac:dyDescent="0.4">
      <c r="A725"/>
      <c r="B725" s="9" t="str">
        <f t="shared" ca="1" si="55"/>
        <v/>
      </c>
      <c r="C725" t="str">
        <f t="shared" si="56"/>
        <v/>
      </c>
      <c r="T725" s="9">
        <f t="shared" si="57"/>
        <v>0</v>
      </c>
      <c r="Z725" s="9">
        <f t="shared" si="58"/>
        <v>0</v>
      </c>
      <c r="AD725" s="9">
        <f t="shared" si="59"/>
        <v>0</v>
      </c>
    </row>
    <row r="726" spans="1:30" x14ac:dyDescent="0.4">
      <c r="A726"/>
      <c r="B726" s="9" t="str">
        <f t="shared" ca="1" si="55"/>
        <v/>
      </c>
      <c r="C726" t="str">
        <f t="shared" si="56"/>
        <v/>
      </c>
      <c r="T726" s="9">
        <f t="shared" si="57"/>
        <v>0</v>
      </c>
      <c r="Z726" s="9">
        <f t="shared" si="58"/>
        <v>0</v>
      </c>
      <c r="AD726" s="9">
        <f t="shared" si="59"/>
        <v>0</v>
      </c>
    </row>
    <row r="727" spans="1:30" x14ac:dyDescent="0.4">
      <c r="A727"/>
      <c r="B727" s="9" t="str">
        <f t="shared" ca="1" si="55"/>
        <v/>
      </c>
      <c r="C727" t="str">
        <f t="shared" si="56"/>
        <v/>
      </c>
      <c r="T727" s="9">
        <f t="shared" si="57"/>
        <v>0</v>
      </c>
      <c r="Z727" s="9">
        <f t="shared" si="58"/>
        <v>0</v>
      </c>
      <c r="AD727" s="9">
        <f t="shared" si="59"/>
        <v>0</v>
      </c>
    </row>
    <row r="728" spans="1:30" x14ac:dyDescent="0.4">
      <c r="A728"/>
      <c r="B728" s="9" t="str">
        <f t="shared" ca="1" si="55"/>
        <v/>
      </c>
      <c r="C728" t="str">
        <f t="shared" si="56"/>
        <v/>
      </c>
      <c r="T728" s="9">
        <f t="shared" si="57"/>
        <v>0</v>
      </c>
      <c r="Z728" s="9">
        <f t="shared" si="58"/>
        <v>0</v>
      </c>
      <c r="AD728" s="9">
        <f t="shared" si="59"/>
        <v>0</v>
      </c>
    </row>
    <row r="729" spans="1:30" x14ac:dyDescent="0.4">
      <c r="A729"/>
      <c r="B729" s="9" t="str">
        <f t="shared" ca="1" si="55"/>
        <v/>
      </c>
      <c r="C729" t="str">
        <f t="shared" si="56"/>
        <v/>
      </c>
      <c r="T729" s="9">
        <f t="shared" si="57"/>
        <v>0</v>
      </c>
      <c r="Z729" s="9">
        <f t="shared" si="58"/>
        <v>0</v>
      </c>
      <c r="AD729" s="9">
        <f t="shared" si="59"/>
        <v>0</v>
      </c>
    </row>
    <row r="730" spans="1:30" x14ac:dyDescent="0.4">
      <c r="A730"/>
      <c r="B730" s="9" t="str">
        <f t="shared" ca="1" si="55"/>
        <v/>
      </c>
      <c r="C730" t="str">
        <f t="shared" si="56"/>
        <v/>
      </c>
      <c r="T730" s="9">
        <f t="shared" si="57"/>
        <v>0</v>
      </c>
      <c r="Z730" s="9">
        <f t="shared" si="58"/>
        <v>0</v>
      </c>
      <c r="AD730" s="9">
        <f t="shared" si="59"/>
        <v>0</v>
      </c>
    </row>
    <row r="731" spans="1:30" x14ac:dyDescent="0.4">
      <c r="A731"/>
      <c r="B731" s="9" t="str">
        <f t="shared" ca="1" si="55"/>
        <v/>
      </c>
      <c r="C731" t="str">
        <f t="shared" si="56"/>
        <v/>
      </c>
      <c r="T731" s="9">
        <f t="shared" si="57"/>
        <v>0</v>
      </c>
      <c r="Z731" s="9">
        <f t="shared" si="58"/>
        <v>0</v>
      </c>
      <c r="AD731" s="9">
        <f t="shared" si="59"/>
        <v>0</v>
      </c>
    </row>
    <row r="732" spans="1:30" x14ac:dyDescent="0.4">
      <c r="A732"/>
      <c r="B732" s="9" t="str">
        <f t="shared" ca="1" si="55"/>
        <v/>
      </c>
      <c r="C732" t="str">
        <f t="shared" si="56"/>
        <v/>
      </c>
      <c r="T732" s="9">
        <f t="shared" si="57"/>
        <v>0</v>
      </c>
      <c r="Z732" s="9">
        <f t="shared" si="58"/>
        <v>0</v>
      </c>
      <c r="AD732" s="9">
        <f t="shared" si="59"/>
        <v>0</v>
      </c>
    </row>
    <row r="733" spans="1:30" x14ac:dyDescent="0.4">
      <c r="A733"/>
      <c r="B733" s="9" t="str">
        <f t="shared" ca="1" si="55"/>
        <v/>
      </c>
      <c r="C733" t="str">
        <f t="shared" si="56"/>
        <v/>
      </c>
      <c r="T733" s="9">
        <f t="shared" si="57"/>
        <v>0</v>
      </c>
      <c r="Z733" s="9">
        <f t="shared" si="58"/>
        <v>0</v>
      </c>
      <c r="AD733" s="9">
        <f t="shared" si="59"/>
        <v>0</v>
      </c>
    </row>
    <row r="734" spans="1:30" x14ac:dyDescent="0.4">
      <c r="A734"/>
      <c r="B734" s="9" t="str">
        <f t="shared" ca="1" si="55"/>
        <v/>
      </c>
      <c r="C734" t="str">
        <f t="shared" si="56"/>
        <v/>
      </c>
      <c r="T734" s="9">
        <f t="shared" si="57"/>
        <v>0</v>
      </c>
      <c r="Z734" s="9">
        <f t="shared" si="58"/>
        <v>0</v>
      </c>
      <c r="AD734" s="9">
        <f t="shared" si="59"/>
        <v>0</v>
      </c>
    </row>
    <row r="735" spans="1:30" x14ac:dyDescent="0.4">
      <c r="A735"/>
      <c r="B735" s="9" t="str">
        <f t="shared" ca="1" si="55"/>
        <v/>
      </c>
      <c r="C735" t="str">
        <f t="shared" si="56"/>
        <v/>
      </c>
      <c r="T735" s="9">
        <f t="shared" si="57"/>
        <v>0</v>
      </c>
      <c r="Z735" s="9">
        <f t="shared" si="58"/>
        <v>0</v>
      </c>
      <c r="AD735" s="9">
        <f t="shared" si="59"/>
        <v>0</v>
      </c>
    </row>
    <row r="736" spans="1:30" x14ac:dyDescent="0.4">
      <c r="A736"/>
      <c r="B736" s="9" t="str">
        <f t="shared" ca="1" si="55"/>
        <v/>
      </c>
      <c r="C736" t="str">
        <f t="shared" si="56"/>
        <v/>
      </c>
      <c r="T736" s="9">
        <f t="shared" si="57"/>
        <v>0</v>
      </c>
      <c r="Z736" s="9">
        <f t="shared" si="58"/>
        <v>0</v>
      </c>
      <c r="AD736" s="9">
        <f t="shared" si="59"/>
        <v>0</v>
      </c>
    </row>
    <row r="737" spans="1:30" x14ac:dyDescent="0.4">
      <c r="A737"/>
      <c r="B737" s="9" t="str">
        <f t="shared" ca="1" si="55"/>
        <v/>
      </c>
      <c r="C737" t="str">
        <f t="shared" si="56"/>
        <v/>
      </c>
      <c r="T737" s="9">
        <f t="shared" si="57"/>
        <v>0</v>
      </c>
      <c r="Z737" s="9">
        <f t="shared" si="58"/>
        <v>0</v>
      </c>
      <c r="AD737" s="9">
        <f t="shared" si="59"/>
        <v>0</v>
      </c>
    </row>
    <row r="738" spans="1:30" x14ac:dyDescent="0.4">
      <c r="A738"/>
      <c r="B738" s="9" t="str">
        <f t="shared" ca="1" si="55"/>
        <v/>
      </c>
      <c r="C738" t="str">
        <f t="shared" si="56"/>
        <v/>
      </c>
      <c r="T738" s="9">
        <f t="shared" si="57"/>
        <v>0</v>
      </c>
      <c r="Z738" s="9">
        <f t="shared" si="58"/>
        <v>0</v>
      </c>
      <c r="AD738" s="9">
        <f t="shared" si="59"/>
        <v>0</v>
      </c>
    </row>
    <row r="739" spans="1:30" x14ac:dyDescent="0.4">
      <c r="A739"/>
      <c r="B739" s="9" t="str">
        <f t="shared" ca="1" si="55"/>
        <v/>
      </c>
      <c r="C739" t="str">
        <f t="shared" si="56"/>
        <v/>
      </c>
      <c r="T739" s="9">
        <f t="shared" si="57"/>
        <v>0</v>
      </c>
      <c r="Z739" s="9">
        <f t="shared" si="58"/>
        <v>0</v>
      </c>
      <c r="AD739" s="9">
        <f t="shared" si="59"/>
        <v>0</v>
      </c>
    </row>
    <row r="740" spans="1:30" x14ac:dyDescent="0.4">
      <c r="A740"/>
      <c r="B740" s="9" t="str">
        <f t="shared" ca="1" si="55"/>
        <v/>
      </c>
      <c r="C740" t="str">
        <f t="shared" si="56"/>
        <v/>
      </c>
      <c r="T740" s="9">
        <f t="shared" si="57"/>
        <v>0</v>
      </c>
      <c r="Z740" s="9">
        <f t="shared" si="58"/>
        <v>0</v>
      </c>
      <c r="AD740" s="9">
        <f t="shared" si="59"/>
        <v>0</v>
      </c>
    </row>
    <row r="741" spans="1:30" x14ac:dyDescent="0.4">
      <c r="A741"/>
      <c r="B741" s="9" t="str">
        <f t="shared" ca="1" si="55"/>
        <v/>
      </c>
      <c r="C741" t="str">
        <f t="shared" si="56"/>
        <v/>
      </c>
      <c r="T741" s="9">
        <f t="shared" si="57"/>
        <v>0</v>
      </c>
      <c r="Z741" s="9">
        <f t="shared" si="58"/>
        <v>0</v>
      </c>
      <c r="AD741" s="9">
        <f t="shared" si="59"/>
        <v>0</v>
      </c>
    </row>
    <row r="742" spans="1:30" x14ac:dyDescent="0.4">
      <c r="A742"/>
      <c r="B742" s="9" t="str">
        <f t="shared" ca="1" si="55"/>
        <v/>
      </c>
      <c r="C742" t="str">
        <f t="shared" si="56"/>
        <v/>
      </c>
      <c r="T742" s="9">
        <f t="shared" si="57"/>
        <v>0</v>
      </c>
      <c r="Z742" s="9">
        <f t="shared" si="58"/>
        <v>0</v>
      </c>
      <c r="AD742" s="9">
        <f t="shared" si="59"/>
        <v>0</v>
      </c>
    </row>
    <row r="743" spans="1:30" x14ac:dyDescent="0.4">
      <c r="A743"/>
      <c r="B743" s="9" t="str">
        <f t="shared" ca="1" si="55"/>
        <v/>
      </c>
      <c r="C743" t="str">
        <f t="shared" si="56"/>
        <v/>
      </c>
      <c r="T743" s="9">
        <f t="shared" si="57"/>
        <v>0</v>
      </c>
      <c r="Z743" s="9">
        <f t="shared" si="58"/>
        <v>0</v>
      </c>
      <c r="AD743" s="9">
        <f t="shared" si="59"/>
        <v>0</v>
      </c>
    </row>
    <row r="744" spans="1:30" x14ac:dyDescent="0.4">
      <c r="A744"/>
      <c r="B744" s="9" t="str">
        <f t="shared" ca="1" si="55"/>
        <v/>
      </c>
      <c r="C744" t="str">
        <f t="shared" si="56"/>
        <v/>
      </c>
      <c r="T744" s="9">
        <f t="shared" si="57"/>
        <v>0</v>
      </c>
      <c r="Z744" s="9">
        <f t="shared" si="58"/>
        <v>0</v>
      </c>
      <c r="AD744" s="9">
        <f t="shared" si="59"/>
        <v>0</v>
      </c>
    </row>
    <row r="745" spans="1:30" x14ac:dyDescent="0.4">
      <c r="A745"/>
      <c r="B745" s="9" t="str">
        <f t="shared" ca="1" si="55"/>
        <v/>
      </c>
      <c r="C745" t="str">
        <f t="shared" si="56"/>
        <v/>
      </c>
      <c r="T745" s="9">
        <f t="shared" si="57"/>
        <v>0</v>
      </c>
      <c r="Z745" s="9">
        <f t="shared" si="58"/>
        <v>0</v>
      </c>
      <c r="AD745" s="9">
        <f t="shared" si="59"/>
        <v>0</v>
      </c>
    </row>
    <row r="746" spans="1:30" x14ac:dyDescent="0.4">
      <c r="A746"/>
      <c r="B746" s="9" t="str">
        <f t="shared" ca="1" si="55"/>
        <v/>
      </c>
      <c r="C746" t="str">
        <f t="shared" si="56"/>
        <v/>
      </c>
      <c r="T746" s="9">
        <f t="shared" si="57"/>
        <v>0</v>
      </c>
      <c r="Z746" s="9">
        <f t="shared" si="58"/>
        <v>0</v>
      </c>
      <c r="AD746" s="9">
        <f t="shared" si="59"/>
        <v>0</v>
      </c>
    </row>
    <row r="747" spans="1:30" x14ac:dyDescent="0.4">
      <c r="A747"/>
      <c r="B747" s="9" t="str">
        <f t="shared" ca="1" si="55"/>
        <v/>
      </c>
      <c r="C747" t="str">
        <f t="shared" si="56"/>
        <v/>
      </c>
      <c r="T747" s="9">
        <f t="shared" si="57"/>
        <v>0</v>
      </c>
      <c r="Z747" s="9">
        <f t="shared" si="58"/>
        <v>0</v>
      </c>
      <c r="AD747" s="9">
        <f t="shared" si="59"/>
        <v>0</v>
      </c>
    </row>
    <row r="748" spans="1:30" x14ac:dyDescent="0.4">
      <c r="A748"/>
      <c r="B748" s="9" t="str">
        <f t="shared" ca="1" si="55"/>
        <v/>
      </c>
      <c r="C748" t="str">
        <f t="shared" si="56"/>
        <v/>
      </c>
      <c r="T748" s="9">
        <f t="shared" si="57"/>
        <v>0</v>
      </c>
      <c r="Z748" s="9">
        <f t="shared" si="58"/>
        <v>0</v>
      </c>
      <c r="AD748" s="9">
        <f t="shared" si="59"/>
        <v>0</v>
      </c>
    </row>
    <row r="749" spans="1:30" x14ac:dyDescent="0.4">
      <c r="A749"/>
      <c r="B749" s="9" t="str">
        <f t="shared" ca="1" si="55"/>
        <v/>
      </c>
      <c r="C749" t="str">
        <f t="shared" si="56"/>
        <v/>
      </c>
      <c r="T749" s="9">
        <f t="shared" si="57"/>
        <v>0</v>
      </c>
      <c r="Z749" s="9">
        <f t="shared" si="58"/>
        <v>0</v>
      </c>
      <c r="AD749" s="9">
        <f t="shared" si="59"/>
        <v>0</v>
      </c>
    </row>
    <row r="750" spans="1:30" x14ac:dyDescent="0.4">
      <c r="A750"/>
      <c r="B750" s="9" t="str">
        <f t="shared" ca="1" si="55"/>
        <v/>
      </c>
      <c r="C750" t="str">
        <f t="shared" si="56"/>
        <v/>
      </c>
      <c r="T750" s="9">
        <f t="shared" si="57"/>
        <v>0</v>
      </c>
      <c r="Z750" s="9">
        <f t="shared" si="58"/>
        <v>0</v>
      </c>
      <c r="AD750" s="9">
        <f t="shared" si="59"/>
        <v>0</v>
      </c>
    </row>
    <row r="751" spans="1:30" x14ac:dyDescent="0.4">
      <c r="A751"/>
      <c r="B751" s="9" t="str">
        <f t="shared" ca="1" si="55"/>
        <v/>
      </c>
      <c r="C751" t="str">
        <f t="shared" si="56"/>
        <v/>
      </c>
      <c r="T751" s="9">
        <f t="shared" si="57"/>
        <v>0</v>
      </c>
      <c r="Z751" s="9">
        <f t="shared" si="58"/>
        <v>0</v>
      </c>
      <c r="AD751" s="9">
        <f t="shared" si="59"/>
        <v>0</v>
      </c>
    </row>
    <row r="752" spans="1:30" x14ac:dyDescent="0.4">
      <c r="A752"/>
      <c r="B752" s="9" t="str">
        <f t="shared" ca="1" si="55"/>
        <v/>
      </c>
      <c r="C752" t="str">
        <f t="shared" si="56"/>
        <v/>
      </c>
      <c r="T752" s="9">
        <f t="shared" si="57"/>
        <v>0</v>
      </c>
      <c r="Z752" s="9">
        <f t="shared" si="58"/>
        <v>0</v>
      </c>
      <c r="AD752" s="9">
        <f t="shared" si="59"/>
        <v>0</v>
      </c>
    </row>
    <row r="753" spans="1:30" x14ac:dyDescent="0.4">
      <c r="A753"/>
      <c r="B753" s="9" t="str">
        <f t="shared" ca="1" si="55"/>
        <v/>
      </c>
      <c r="C753" t="str">
        <f t="shared" si="56"/>
        <v/>
      </c>
      <c r="T753" s="9">
        <f t="shared" si="57"/>
        <v>0</v>
      </c>
      <c r="Z753" s="9">
        <f t="shared" si="58"/>
        <v>0</v>
      </c>
      <c r="AD753" s="9">
        <f t="shared" si="59"/>
        <v>0</v>
      </c>
    </row>
    <row r="754" spans="1:30" x14ac:dyDescent="0.4">
      <c r="A754"/>
      <c r="B754" s="9" t="str">
        <f t="shared" ca="1" si="55"/>
        <v/>
      </c>
      <c r="C754" t="str">
        <f t="shared" si="56"/>
        <v/>
      </c>
      <c r="T754" s="9">
        <f t="shared" si="57"/>
        <v>0</v>
      </c>
      <c r="Z754" s="9">
        <f t="shared" si="58"/>
        <v>0</v>
      </c>
      <c r="AD754" s="9">
        <f t="shared" si="59"/>
        <v>0</v>
      </c>
    </row>
    <row r="755" spans="1:30" x14ac:dyDescent="0.4">
      <c r="A755"/>
      <c r="B755" s="9" t="str">
        <f t="shared" ca="1" si="55"/>
        <v/>
      </c>
      <c r="C755" t="str">
        <f t="shared" si="56"/>
        <v/>
      </c>
      <c r="T755" s="9">
        <f t="shared" si="57"/>
        <v>0</v>
      </c>
      <c r="Z755" s="9">
        <f t="shared" si="58"/>
        <v>0</v>
      </c>
      <c r="AD755" s="9">
        <f t="shared" si="59"/>
        <v>0</v>
      </c>
    </row>
    <row r="756" spans="1:30" x14ac:dyDescent="0.4">
      <c r="A756"/>
      <c r="B756" s="9" t="str">
        <f t="shared" ca="1" si="55"/>
        <v/>
      </c>
      <c r="C756" t="str">
        <f t="shared" si="56"/>
        <v/>
      </c>
      <c r="T756" s="9">
        <f t="shared" si="57"/>
        <v>0</v>
      </c>
      <c r="Z756" s="9">
        <f t="shared" si="58"/>
        <v>0</v>
      </c>
      <c r="AD756" s="9">
        <f t="shared" si="59"/>
        <v>0</v>
      </c>
    </row>
    <row r="757" spans="1:30" x14ac:dyDescent="0.4">
      <c r="A757"/>
      <c r="B757" s="9" t="str">
        <f t="shared" ca="1" si="55"/>
        <v/>
      </c>
      <c r="C757" t="str">
        <f t="shared" si="56"/>
        <v/>
      </c>
      <c r="T757" s="9">
        <f t="shared" si="57"/>
        <v>0</v>
      </c>
      <c r="Z757" s="9">
        <f t="shared" si="58"/>
        <v>0</v>
      </c>
      <c r="AD757" s="9">
        <f t="shared" si="59"/>
        <v>0</v>
      </c>
    </row>
    <row r="758" spans="1:30" x14ac:dyDescent="0.4">
      <c r="A758"/>
      <c r="B758" s="9" t="str">
        <f t="shared" ca="1" si="55"/>
        <v/>
      </c>
      <c r="C758" t="str">
        <f t="shared" si="56"/>
        <v/>
      </c>
      <c r="T758" s="9">
        <f t="shared" si="57"/>
        <v>0</v>
      </c>
      <c r="Z758" s="9">
        <f t="shared" si="58"/>
        <v>0</v>
      </c>
      <c r="AD758" s="9">
        <f t="shared" si="59"/>
        <v>0</v>
      </c>
    </row>
    <row r="759" spans="1:30" x14ac:dyDescent="0.4">
      <c r="A759"/>
      <c r="B759" s="9" t="str">
        <f t="shared" ca="1" si="55"/>
        <v/>
      </c>
      <c r="C759" t="str">
        <f t="shared" si="56"/>
        <v/>
      </c>
      <c r="T759" s="9">
        <f t="shared" si="57"/>
        <v>0</v>
      </c>
      <c r="Z759" s="9">
        <f t="shared" si="58"/>
        <v>0</v>
      </c>
      <c r="AD759" s="9">
        <f t="shared" si="59"/>
        <v>0</v>
      </c>
    </row>
    <row r="760" spans="1:30" x14ac:dyDescent="0.4">
      <c r="A760"/>
      <c r="B760" s="9" t="str">
        <f t="shared" ca="1" si="55"/>
        <v/>
      </c>
      <c r="C760" t="str">
        <f t="shared" si="56"/>
        <v/>
      </c>
      <c r="T760" s="9">
        <f t="shared" si="57"/>
        <v>0</v>
      </c>
      <c r="Z760" s="9">
        <f t="shared" si="58"/>
        <v>0</v>
      </c>
      <c r="AD760" s="9">
        <f t="shared" si="59"/>
        <v>0</v>
      </c>
    </row>
    <row r="761" spans="1:30" x14ac:dyDescent="0.4">
      <c r="A761"/>
      <c r="B761" s="9" t="str">
        <f t="shared" ca="1" si="55"/>
        <v/>
      </c>
      <c r="C761" t="str">
        <f t="shared" si="56"/>
        <v/>
      </c>
      <c r="T761" s="9">
        <f t="shared" si="57"/>
        <v>0</v>
      </c>
      <c r="Z761" s="9">
        <f t="shared" si="58"/>
        <v>0</v>
      </c>
      <c r="AD761" s="9">
        <f t="shared" si="59"/>
        <v>0</v>
      </c>
    </row>
    <row r="762" spans="1:30" x14ac:dyDescent="0.4">
      <c r="A762"/>
      <c r="B762" s="9" t="str">
        <f t="shared" ca="1" si="55"/>
        <v/>
      </c>
      <c r="C762" t="str">
        <f t="shared" si="56"/>
        <v/>
      </c>
      <c r="T762" s="9">
        <f t="shared" si="57"/>
        <v>0</v>
      </c>
      <c r="Z762" s="9">
        <f t="shared" si="58"/>
        <v>0</v>
      </c>
      <c r="AD762" s="9">
        <f t="shared" si="59"/>
        <v>0</v>
      </c>
    </row>
    <row r="763" spans="1:30" x14ac:dyDescent="0.4">
      <c r="A763"/>
      <c r="B763" s="9" t="str">
        <f t="shared" ca="1" si="55"/>
        <v/>
      </c>
      <c r="C763" t="str">
        <f t="shared" si="56"/>
        <v/>
      </c>
      <c r="T763" s="9">
        <f t="shared" si="57"/>
        <v>0</v>
      </c>
      <c r="Z763" s="9">
        <f t="shared" si="58"/>
        <v>0</v>
      </c>
      <c r="AD763" s="9">
        <f t="shared" si="59"/>
        <v>0</v>
      </c>
    </row>
    <row r="764" spans="1:30" x14ac:dyDescent="0.4">
      <c r="A764"/>
      <c r="B764" s="9" t="str">
        <f t="shared" ca="1" si="55"/>
        <v/>
      </c>
      <c r="C764" t="str">
        <f t="shared" si="56"/>
        <v/>
      </c>
      <c r="T764" s="9">
        <f t="shared" si="57"/>
        <v>0</v>
      </c>
      <c r="Z764" s="9">
        <f t="shared" si="58"/>
        <v>0</v>
      </c>
      <c r="AD764" s="9">
        <f t="shared" si="59"/>
        <v>0</v>
      </c>
    </row>
    <row r="765" spans="1:30" x14ac:dyDescent="0.4">
      <c r="A765"/>
      <c r="B765" s="9" t="str">
        <f t="shared" ca="1" si="55"/>
        <v/>
      </c>
      <c r="C765" t="str">
        <f t="shared" si="56"/>
        <v/>
      </c>
      <c r="T765" s="9">
        <f t="shared" si="57"/>
        <v>0</v>
      </c>
      <c r="Z765" s="9">
        <f t="shared" si="58"/>
        <v>0</v>
      </c>
      <c r="AD765" s="9">
        <f t="shared" si="59"/>
        <v>0</v>
      </c>
    </row>
    <row r="766" spans="1:30" x14ac:dyDescent="0.4">
      <c r="A766"/>
      <c r="B766" s="9" t="str">
        <f t="shared" ca="1" si="55"/>
        <v/>
      </c>
      <c r="C766" t="str">
        <f t="shared" si="56"/>
        <v/>
      </c>
      <c r="T766" s="9">
        <f t="shared" si="57"/>
        <v>0</v>
      </c>
      <c r="Z766" s="9">
        <f t="shared" si="58"/>
        <v>0</v>
      </c>
      <c r="AD766" s="9">
        <f t="shared" si="59"/>
        <v>0</v>
      </c>
    </row>
    <row r="767" spans="1:30" x14ac:dyDescent="0.4">
      <c r="A767"/>
      <c r="B767" s="9" t="str">
        <f t="shared" ca="1" si="55"/>
        <v/>
      </c>
      <c r="C767" t="str">
        <f t="shared" si="56"/>
        <v/>
      </c>
      <c r="T767" s="9">
        <f t="shared" si="57"/>
        <v>0</v>
      </c>
      <c r="Z767" s="9">
        <f t="shared" si="58"/>
        <v>0</v>
      </c>
      <c r="AD767" s="9">
        <f t="shared" si="59"/>
        <v>0</v>
      </c>
    </row>
    <row r="768" spans="1:30" x14ac:dyDescent="0.4">
      <c r="A768"/>
      <c r="B768" s="9" t="str">
        <f t="shared" ca="1" si="55"/>
        <v/>
      </c>
      <c r="C768" t="str">
        <f t="shared" si="56"/>
        <v/>
      </c>
      <c r="T768" s="9">
        <f t="shared" si="57"/>
        <v>0</v>
      </c>
      <c r="Z768" s="9">
        <f t="shared" si="58"/>
        <v>0</v>
      </c>
      <c r="AD768" s="9">
        <f t="shared" si="59"/>
        <v>0</v>
      </c>
    </row>
    <row r="769" spans="1:30" x14ac:dyDescent="0.4">
      <c r="A769"/>
      <c r="B769" s="9" t="str">
        <f t="shared" ca="1" si="55"/>
        <v/>
      </c>
      <c r="C769" t="str">
        <f t="shared" si="56"/>
        <v/>
      </c>
      <c r="T769" s="9">
        <f t="shared" si="57"/>
        <v>0</v>
      </c>
      <c r="Z769" s="9">
        <f t="shared" si="58"/>
        <v>0</v>
      </c>
      <c r="AD769" s="9">
        <f t="shared" si="59"/>
        <v>0</v>
      </c>
    </row>
    <row r="770" spans="1:30" x14ac:dyDescent="0.4">
      <c r="A770"/>
      <c r="B770" s="9" t="str">
        <f t="shared" ca="1" si="55"/>
        <v/>
      </c>
      <c r="C770" t="str">
        <f t="shared" si="56"/>
        <v/>
      </c>
      <c r="T770" s="9">
        <f t="shared" si="57"/>
        <v>0</v>
      </c>
      <c r="Z770" s="9">
        <f t="shared" si="58"/>
        <v>0</v>
      </c>
      <c r="AD770" s="9">
        <f t="shared" si="59"/>
        <v>0</v>
      </c>
    </row>
    <row r="771" spans="1:30" x14ac:dyDescent="0.4">
      <c r="A771"/>
      <c r="B771" s="9" t="str">
        <f t="shared" ref="B771:B834" ca="1" si="60">TEXT(IFERROR(LOOKUP(10^8,MID(A771,ROW(INDIRECT("1:"&amp;LEN(A771)-11)),8)+0),IF(A771="","",TRIM(RIGHT(SUBSTITUTE(LEFT(A771,LEN(A771)-4),"\",REPT(" ",50)),50)))),"00000000")</f>
        <v/>
      </c>
      <c r="C771" t="str">
        <f t="shared" ref="C771:C834" si="61">IF(A771="","",$J$1&amp;"\"&amp;A771)</f>
        <v/>
      </c>
      <c r="T771" s="9">
        <f t="shared" si="57"/>
        <v>0</v>
      </c>
      <c r="Z771" s="9">
        <f t="shared" si="58"/>
        <v>0</v>
      </c>
      <c r="AD771" s="9">
        <f t="shared" si="59"/>
        <v>0</v>
      </c>
    </row>
    <row r="772" spans="1:30" x14ac:dyDescent="0.4">
      <c r="A772"/>
      <c r="B772" s="9" t="str">
        <f t="shared" ca="1" si="60"/>
        <v/>
      </c>
      <c r="C772" t="str">
        <f t="shared" si="61"/>
        <v/>
      </c>
      <c r="T772" s="9">
        <f t="shared" si="57"/>
        <v>0</v>
      </c>
      <c r="Z772" s="9">
        <f t="shared" si="58"/>
        <v>0</v>
      </c>
      <c r="AD772" s="9">
        <f t="shared" si="59"/>
        <v>0</v>
      </c>
    </row>
    <row r="773" spans="1:30" x14ac:dyDescent="0.4">
      <c r="A773"/>
      <c r="B773" s="9" t="str">
        <f t="shared" ca="1" si="60"/>
        <v/>
      </c>
      <c r="C773" t="str">
        <f t="shared" si="61"/>
        <v/>
      </c>
      <c r="T773" s="9">
        <f t="shared" si="57"/>
        <v>0</v>
      </c>
      <c r="Z773" s="9">
        <f t="shared" si="58"/>
        <v>0</v>
      </c>
      <c r="AD773" s="9">
        <f t="shared" si="59"/>
        <v>0</v>
      </c>
    </row>
    <row r="774" spans="1:30" x14ac:dyDescent="0.4">
      <c r="A774"/>
      <c r="B774" s="9" t="str">
        <f t="shared" ca="1" si="60"/>
        <v/>
      </c>
      <c r="C774" t="str">
        <f t="shared" si="61"/>
        <v/>
      </c>
      <c r="T774" s="9">
        <f t="shared" si="57"/>
        <v>0</v>
      </c>
      <c r="Z774" s="9">
        <f t="shared" si="58"/>
        <v>0</v>
      </c>
      <c r="AD774" s="9">
        <f t="shared" si="59"/>
        <v>0</v>
      </c>
    </row>
    <row r="775" spans="1:30" x14ac:dyDescent="0.4">
      <c r="A775"/>
      <c r="B775" s="9" t="str">
        <f t="shared" ca="1" si="60"/>
        <v/>
      </c>
      <c r="C775" t="str">
        <f t="shared" si="61"/>
        <v/>
      </c>
      <c r="T775" s="9">
        <f t="shared" si="57"/>
        <v>0</v>
      </c>
      <c r="Z775" s="9">
        <f t="shared" si="58"/>
        <v>0</v>
      </c>
      <c r="AD775" s="9">
        <f t="shared" si="59"/>
        <v>0</v>
      </c>
    </row>
    <row r="776" spans="1:30" x14ac:dyDescent="0.4">
      <c r="A776"/>
      <c r="B776" s="9" t="str">
        <f t="shared" ca="1" si="60"/>
        <v/>
      </c>
      <c r="C776" t="str">
        <f t="shared" si="61"/>
        <v/>
      </c>
      <c r="T776" s="9">
        <f t="shared" ref="T776:T839" si="62">(COUNTIFS(TH_TK,N776,TH_DuNo,O776,TH_DuNoNT,P776,TH_DuCo,Q776,TH_DuCoNT,R776,TH_SoLuong,S776)&gt;0)*1</f>
        <v>0</v>
      </c>
      <c r="Z776" s="9">
        <f t="shared" ref="Z776:Z839" si="63">(COUNTIFS(NV,U776,TK,V776,TongNo,W776,TongCo,X776,SoLuong,Y776)&gt;0)*1</f>
        <v>0</v>
      </c>
      <c r="AD776" s="9">
        <f t="shared" ref="AD776:AD839" si="64">COUNTIFS(ReportType,AA776,ItemCode,AB776,Amount,AC776)</f>
        <v>0</v>
      </c>
    </row>
    <row r="777" spans="1:30" x14ac:dyDescent="0.4">
      <c r="A777"/>
      <c r="B777" s="9" t="str">
        <f t="shared" ca="1" si="60"/>
        <v/>
      </c>
      <c r="C777" t="str">
        <f t="shared" si="61"/>
        <v/>
      </c>
      <c r="T777" s="9">
        <f t="shared" si="62"/>
        <v>0</v>
      </c>
      <c r="Z777" s="9">
        <f t="shared" si="63"/>
        <v>0</v>
      </c>
      <c r="AD777" s="9">
        <f t="shared" si="64"/>
        <v>0</v>
      </c>
    </row>
    <row r="778" spans="1:30" x14ac:dyDescent="0.4">
      <c r="A778"/>
      <c r="B778" s="9" t="str">
        <f t="shared" ca="1" si="60"/>
        <v/>
      </c>
      <c r="C778" t="str">
        <f t="shared" si="61"/>
        <v/>
      </c>
      <c r="T778" s="9">
        <f t="shared" si="62"/>
        <v>0</v>
      </c>
      <c r="Z778" s="9">
        <f t="shared" si="63"/>
        <v>0</v>
      </c>
      <c r="AD778" s="9">
        <f t="shared" si="64"/>
        <v>0</v>
      </c>
    </row>
    <row r="779" spans="1:30" x14ac:dyDescent="0.4">
      <c r="A779"/>
      <c r="B779" s="9" t="str">
        <f t="shared" ca="1" si="60"/>
        <v/>
      </c>
      <c r="C779" t="str">
        <f t="shared" si="61"/>
        <v/>
      </c>
      <c r="T779" s="9">
        <f t="shared" si="62"/>
        <v>0</v>
      </c>
      <c r="Z779" s="9">
        <f t="shared" si="63"/>
        <v>0</v>
      </c>
      <c r="AD779" s="9">
        <f t="shared" si="64"/>
        <v>0</v>
      </c>
    </row>
    <row r="780" spans="1:30" x14ac:dyDescent="0.4">
      <c r="A780"/>
      <c r="B780" s="9" t="str">
        <f t="shared" ca="1" si="60"/>
        <v/>
      </c>
      <c r="C780" t="str">
        <f t="shared" si="61"/>
        <v/>
      </c>
      <c r="T780" s="9">
        <f t="shared" si="62"/>
        <v>0</v>
      </c>
      <c r="Z780" s="9">
        <f t="shared" si="63"/>
        <v>0</v>
      </c>
      <c r="AD780" s="9">
        <f t="shared" si="64"/>
        <v>0</v>
      </c>
    </row>
    <row r="781" spans="1:30" x14ac:dyDescent="0.4">
      <c r="A781"/>
      <c r="B781" s="9" t="str">
        <f t="shared" ca="1" si="60"/>
        <v/>
      </c>
      <c r="C781" t="str">
        <f t="shared" si="61"/>
        <v/>
      </c>
      <c r="T781" s="9">
        <f t="shared" si="62"/>
        <v>0</v>
      </c>
      <c r="Z781" s="9">
        <f t="shared" si="63"/>
        <v>0</v>
      </c>
      <c r="AD781" s="9">
        <f t="shared" si="64"/>
        <v>0</v>
      </c>
    </row>
    <row r="782" spans="1:30" x14ac:dyDescent="0.4">
      <c r="A782"/>
      <c r="B782" s="9" t="str">
        <f t="shared" ca="1" si="60"/>
        <v/>
      </c>
      <c r="C782" t="str">
        <f t="shared" si="61"/>
        <v/>
      </c>
      <c r="T782" s="9">
        <f t="shared" si="62"/>
        <v>0</v>
      </c>
      <c r="Z782" s="9">
        <f t="shared" si="63"/>
        <v>0</v>
      </c>
      <c r="AD782" s="9">
        <f t="shared" si="64"/>
        <v>0</v>
      </c>
    </row>
    <row r="783" spans="1:30" x14ac:dyDescent="0.4">
      <c r="A783"/>
      <c r="B783" s="9" t="str">
        <f t="shared" ca="1" si="60"/>
        <v/>
      </c>
      <c r="C783" t="str">
        <f t="shared" si="61"/>
        <v/>
      </c>
      <c r="T783" s="9">
        <f t="shared" si="62"/>
        <v>0</v>
      </c>
      <c r="Z783" s="9">
        <f t="shared" si="63"/>
        <v>0</v>
      </c>
      <c r="AD783" s="9">
        <f t="shared" si="64"/>
        <v>0</v>
      </c>
    </row>
    <row r="784" spans="1:30" x14ac:dyDescent="0.4">
      <c r="A784"/>
      <c r="B784" s="9" t="str">
        <f t="shared" ca="1" si="60"/>
        <v/>
      </c>
      <c r="C784" t="str">
        <f t="shared" si="61"/>
        <v/>
      </c>
      <c r="T784" s="9">
        <f t="shared" si="62"/>
        <v>0</v>
      </c>
      <c r="Z784" s="9">
        <f t="shared" si="63"/>
        <v>0</v>
      </c>
      <c r="AD784" s="9">
        <f t="shared" si="64"/>
        <v>0</v>
      </c>
    </row>
    <row r="785" spans="1:30" x14ac:dyDescent="0.4">
      <c r="A785"/>
      <c r="B785" s="9" t="str">
        <f t="shared" ca="1" si="60"/>
        <v/>
      </c>
      <c r="C785" t="str">
        <f t="shared" si="61"/>
        <v/>
      </c>
      <c r="T785" s="9">
        <f t="shared" si="62"/>
        <v>0</v>
      </c>
      <c r="Z785" s="9">
        <f t="shared" si="63"/>
        <v>0</v>
      </c>
      <c r="AD785" s="9">
        <f t="shared" si="64"/>
        <v>0</v>
      </c>
    </row>
    <row r="786" spans="1:30" x14ac:dyDescent="0.4">
      <c r="A786"/>
      <c r="B786" s="9" t="str">
        <f t="shared" ca="1" si="60"/>
        <v/>
      </c>
      <c r="C786" t="str">
        <f t="shared" si="61"/>
        <v/>
      </c>
      <c r="T786" s="9">
        <f t="shared" si="62"/>
        <v>0</v>
      </c>
      <c r="Z786" s="9">
        <f t="shared" si="63"/>
        <v>0</v>
      </c>
      <c r="AD786" s="9">
        <f t="shared" si="64"/>
        <v>0</v>
      </c>
    </row>
    <row r="787" spans="1:30" x14ac:dyDescent="0.4">
      <c r="A787"/>
      <c r="B787" s="9" t="str">
        <f t="shared" ca="1" si="60"/>
        <v/>
      </c>
      <c r="C787" t="str">
        <f t="shared" si="61"/>
        <v/>
      </c>
      <c r="T787" s="9">
        <f t="shared" si="62"/>
        <v>0</v>
      </c>
      <c r="Z787" s="9">
        <f t="shared" si="63"/>
        <v>0</v>
      </c>
      <c r="AD787" s="9">
        <f t="shared" si="64"/>
        <v>0</v>
      </c>
    </row>
    <row r="788" spans="1:30" x14ac:dyDescent="0.4">
      <c r="A788"/>
      <c r="B788" s="9" t="str">
        <f t="shared" ca="1" si="60"/>
        <v/>
      </c>
      <c r="C788" t="str">
        <f t="shared" si="61"/>
        <v/>
      </c>
      <c r="T788" s="9">
        <f t="shared" si="62"/>
        <v>0</v>
      </c>
      <c r="Z788" s="9">
        <f t="shared" si="63"/>
        <v>0</v>
      </c>
      <c r="AD788" s="9">
        <f t="shared" si="64"/>
        <v>0</v>
      </c>
    </row>
    <row r="789" spans="1:30" x14ac:dyDescent="0.4">
      <c r="A789"/>
      <c r="B789" s="9" t="str">
        <f t="shared" ca="1" si="60"/>
        <v/>
      </c>
      <c r="C789" t="str">
        <f t="shared" si="61"/>
        <v/>
      </c>
      <c r="T789" s="9">
        <f t="shared" si="62"/>
        <v>0</v>
      </c>
      <c r="Z789" s="9">
        <f t="shared" si="63"/>
        <v>0</v>
      </c>
      <c r="AD789" s="9">
        <f t="shared" si="64"/>
        <v>0</v>
      </c>
    </row>
    <row r="790" spans="1:30" x14ac:dyDescent="0.4">
      <c r="A790"/>
      <c r="B790" s="9" t="str">
        <f t="shared" ca="1" si="60"/>
        <v/>
      </c>
      <c r="C790" t="str">
        <f t="shared" si="61"/>
        <v/>
      </c>
      <c r="T790" s="9">
        <f t="shared" si="62"/>
        <v>0</v>
      </c>
      <c r="Z790" s="9">
        <f t="shared" si="63"/>
        <v>0</v>
      </c>
      <c r="AD790" s="9">
        <f t="shared" si="64"/>
        <v>0</v>
      </c>
    </row>
    <row r="791" spans="1:30" x14ac:dyDescent="0.4">
      <c r="A791"/>
      <c r="B791" s="9" t="str">
        <f t="shared" ca="1" si="60"/>
        <v/>
      </c>
      <c r="C791" t="str">
        <f t="shared" si="61"/>
        <v/>
      </c>
      <c r="T791" s="9">
        <f t="shared" si="62"/>
        <v>0</v>
      </c>
      <c r="Z791" s="9">
        <f t="shared" si="63"/>
        <v>0</v>
      </c>
      <c r="AD791" s="9">
        <f t="shared" si="64"/>
        <v>0</v>
      </c>
    </row>
    <row r="792" spans="1:30" x14ac:dyDescent="0.4">
      <c r="A792"/>
      <c r="B792" s="9" t="str">
        <f t="shared" ca="1" si="60"/>
        <v/>
      </c>
      <c r="C792" t="str">
        <f t="shared" si="61"/>
        <v/>
      </c>
      <c r="T792" s="9">
        <f t="shared" si="62"/>
        <v>0</v>
      </c>
      <c r="Z792" s="9">
        <f t="shared" si="63"/>
        <v>0</v>
      </c>
      <c r="AD792" s="9">
        <f t="shared" si="64"/>
        <v>0</v>
      </c>
    </row>
    <row r="793" spans="1:30" x14ac:dyDescent="0.4">
      <c r="A793"/>
      <c r="B793" s="9" t="str">
        <f t="shared" ca="1" si="60"/>
        <v/>
      </c>
      <c r="C793" t="str">
        <f t="shared" si="61"/>
        <v/>
      </c>
      <c r="T793" s="9">
        <f t="shared" si="62"/>
        <v>0</v>
      </c>
      <c r="Z793" s="9">
        <f t="shared" si="63"/>
        <v>0</v>
      </c>
      <c r="AD793" s="9">
        <f t="shared" si="64"/>
        <v>0</v>
      </c>
    </row>
    <row r="794" spans="1:30" x14ac:dyDescent="0.4">
      <c r="A794"/>
      <c r="B794" s="9" t="str">
        <f t="shared" ca="1" si="60"/>
        <v/>
      </c>
      <c r="C794" t="str">
        <f t="shared" si="61"/>
        <v/>
      </c>
      <c r="T794" s="9">
        <f t="shared" si="62"/>
        <v>0</v>
      </c>
      <c r="Z794" s="9">
        <f t="shared" si="63"/>
        <v>0</v>
      </c>
      <c r="AD794" s="9">
        <f t="shared" si="64"/>
        <v>0</v>
      </c>
    </row>
    <row r="795" spans="1:30" x14ac:dyDescent="0.4">
      <c r="A795"/>
      <c r="B795" s="9" t="str">
        <f t="shared" ca="1" si="60"/>
        <v/>
      </c>
      <c r="C795" t="str">
        <f t="shared" si="61"/>
        <v/>
      </c>
      <c r="T795" s="9">
        <f t="shared" si="62"/>
        <v>0</v>
      </c>
      <c r="Z795" s="9">
        <f t="shared" si="63"/>
        <v>0</v>
      </c>
      <c r="AD795" s="9">
        <f t="shared" si="64"/>
        <v>0</v>
      </c>
    </row>
    <row r="796" spans="1:30" x14ac:dyDescent="0.4">
      <c r="A796"/>
      <c r="B796" s="9" t="str">
        <f t="shared" ca="1" si="60"/>
        <v/>
      </c>
      <c r="C796" t="str">
        <f t="shared" si="61"/>
        <v/>
      </c>
      <c r="T796" s="9">
        <f t="shared" si="62"/>
        <v>0</v>
      </c>
      <c r="Z796" s="9">
        <f t="shared" si="63"/>
        <v>0</v>
      </c>
      <c r="AD796" s="9">
        <f t="shared" si="64"/>
        <v>0</v>
      </c>
    </row>
    <row r="797" spans="1:30" x14ac:dyDescent="0.4">
      <c r="A797"/>
      <c r="B797" s="9" t="str">
        <f t="shared" ca="1" si="60"/>
        <v/>
      </c>
      <c r="C797" t="str">
        <f t="shared" si="61"/>
        <v/>
      </c>
      <c r="T797" s="9">
        <f t="shared" si="62"/>
        <v>0</v>
      </c>
      <c r="Z797" s="9">
        <f t="shared" si="63"/>
        <v>0</v>
      </c>
      <c r="AD797" s="9">
        <f t="shared" si="64"/>
        <v>0</v>
      </c>
    </row>
    <row r="798" spans="1:30" x14ac:dyDescent="0.4">
      <c r="A798"/>
      <c r="B798" s="9" t="str">
        <f t="shared" ca="1" si="60"/>
        <v/>
      </c>
      <c r="C798" t="str">
        <f t="shared" si="61"/>
        <v/>
      </c>
      <c r="T798" s="9">
        <f t="shared" si="62"/>
        <v>0</v>
      </c>
      <c r="Z798" s="9">
        <f t="shared" si="63"/>
        <v>0</v>
      </c>
      <c r="AD798" s="9">
        <f t="shared" si="64"/>
        <v>0</v>
      </c>
    </row>
    <row r="799" spans="1:30" x14ac:dyDescent="0.4">
      <c r="A799"/>
      <c r="B799" s="9" t="str">
        <f t="shared" ca="1" si="60"/>
        <v/>
      </c>
      <c r="C799" t="str">
        <f t="shared" si="61"/>
        <v/>
      </c>
      <c r="T799" s="9">
        <f t="shared" si="62"/>
        <v>0</v>
      </c>
      <c r="Z799" s="9">
        <f t="shared" si="63"/>
        <v>0</v>
      </c>
      <c r="AD799" s="9">
        <f t="shared" si="64"/>
        <v>0</v>
      </c>
    </row>
    <row r="800" spans="1:30" x14ac:dyDescent="0.4">
      <c r="A800"/>
      <c r="B800" s="9" t="str">
        <f t="shared" ca="1" si="60"/>
        <v/>
      </c>
      <c r="C800" t="str">
        <f t="shared" si="61"/>
        <v/>
      </c>
      <c r="T800" s="9">
        <f t="shared" si="62"/>
        <v>0</v>
      </c>
      <c r="Z800" s="9">
        <f t="shared" si="63"/>
        <v>0</v>
      </c>
      <c r="AD800" s="9">
        <f t="shared" si="64"/>
        <v>0</v>
      </c>
    </row>
    <row r="801" spans="1:30" x14ac:dyDescent="0.4">
      <c r="A801"/>
      <c r="B801" s="9" t="str">
        <f t="shared" ca="1" si="60"/>
        <v/>
      </c>
      <c r="C801" t="str">
        <f t="shared" si="61"/>
        <v/>
      </c>
      <c r="T801" s="9">
        <f t="shared" si="62"/>
        <v>0</v>
      </c>
      <c r="Z801" s="9">
        <f t="shared" si="63"/>
        <v>0</v>
      </c>
      <c r="AD801" s="9">
        <f t="shared" si="64"/>
        <v>0</v>
      </c>
    </row>
    <row r="802" spans="1:30" x14ac:dyDescent="0.4">
      <c r="A802"/>
      <c r="B802" s="9" t="str">
        <f t="shared" ca="1" si="60"/>
        <v/>
      </c>
      <c r="C802" t="str">
        <f t="shared" si="61"/>
        <v/>
      </c>
      <c r="T802" s="9">
        <f t="shared" si="62"/>
        <v>0</v>
      </c>
      <c r="Z802" s="9">
        <f t="shared" si="63"/>
        <v>0</v>
      </c>
      <c r="AD802" s="9">
        <f t="shared" si="64"/>
        <v>0</v>
      </c>
    </row>
    <row r="803" spans="1:30" x14ac:dyDescent="0.4">
      <c r="A803"/>
      <c r="B803" s="9" t="str">
        <f t="shared" ca="1" si="60"/>
        <v/>
      </c>
      <c r="C803" t="str">
        <f t="shared" si="61"/>
        <v/>
      </c>
      <c r="T803" s="9">
        <f t="shared" si="62"/>
        <v>0</v>
      </c>
      <c r="Z803" s="9">
        <f t="shared" si="63"/>
        <v>0</v>
      </c>
      <c r="AD803" s="9">
        <f t="shared" si="64"/>
        <v>0</v>
      </c>
    </row>
    <row r="804" spans="1:30" x14ac:dyDescent="0.4">
      <c r="A804"/>
      <c r="B804" s="9" t="str">
        <f t="shared" ca="1" si="60"/>
        <v/>
      </c>
      <c r="C804" t="str">
        <f t="shared" si="61"/>
        <v/>
      </c>
      <c r="T804" s="9">
        <f t="shared" si="62"/>
        <v>0</v>
      </c>
      <c r="Z804" s="9">
        <f t="shared" si="63"/>
        <v>0</v>
      </c>
      <c r="AD804" s="9">
        <f t="shared" si="64"/>
        <v>0</v>
      </c>
    </row>
    <row r="805" spans="1:30" x14ac:dyDescent="0.4">
      <c r="A805"/>
      <c r="B805" s="9" t="str">
        <f t="shared" ca="1" si="60"/>
        <v/>
      </c>
      <c r="C805" t="str">
        <f t="shared" si="61"/>
        <v/>
      </c>
      <c r="T805" s="9">
        <f t="shared" si="62"/>
        <v>0</v>
      </c>
      <c r="Z805" s="9">
        <f t="shared" si="63"/>
        <v>0</v>
      </c>
      <c r="AD805" s="9">
        <f t="shared" si="64"/>
        <v>0</v>
      </c>
    </row>
    <row r="806" spans="1:30" x14ac:dyDescent="0.4">
      <c r="A806"/>
      <c r="B806" s="9" t="str">
        <f t="shared" ca="1" si="60"/>
        <v/>
      </c>
      <c r="C806" t="str">
        <f t="shared" si="61"/>
        <v/>
      </c>
      <c r="T806" s="9">
        <f t="shared" si="62"/>
        <v>0</v>
      </c>
      <c r="Z806" s="9">
        <f t="shared" si="63"/>
        <v>0</v>
      </c>
      <c r="AD806" s="9">
        <f t="shared" si="64"/>
        <v>0</v>
      </c>
    </row>
    <row r="807" spans="1:30" x14ac:dyDescent="0.4">
      <c r="A807"/>
      <c r="B807" s="9" t="str">
        <f t="shared" ca="1" si="60"/>
        <v/>
      </c>
      <c r="C807" t="str">
        <f t="shared" si="61"/>
        <v/>
      </c>
      <c r="T807" s="9">
        <f t="shared" si="62"/>
        <v>0</v>
      </c>
      <c r="Z807" s="9">
        <f t="shared" si="63"/>
        <v>0</v>
      </c>
      <c r="AD807" s="9">
        <f t="shared" si="64"/>
        <v>0</v>
      </c>
    </row>
    <row r="808" spans="1:30" x14ac:dyDescent="0.4">
      <c r="A808"/>
      <c r="B808" s="9" t="str">
        <f t="shared" ca="1" si="60"/>
        <v/>
      </c>
      <c r="C808" t="str">
        <f t="shared" si="61"/>
        <v/>
      </c>
      <c r="T808" s="9">
        <f t="shared" si="62"/>
        <v>0</v>
      </c>
      <c r="Z808" s="9">
        <f t="shared" si="63"/>
        <v>0</v>
      </c>
      <c r="AD808" s="9">
        <f t="shared" si="64"/>
        <v>0</v>
      </c>
    </row>
    <row r="809" spans="1:30" x14ac:dyDescent="0.4">
      <c r="A809"/>
      <c r="B809" s="9" t="str">
        <f t="shared" ca="1" si="60"/>
        <v/>
      </c>
      <c r="C809" t="str">
        <f t="shared" si="61"/>
        <v/>
      </c>
      <c r="T809" s="9">
        <f t="shared" si="62"/>
        <v>0</v>
      </c>
      <c r="Z809" s="9">
        <f t="shared" si="63"/>
        <v>0</v>
      </c>
      <c r="AD809" s="9">
        <f t="shared" si="64"/>
        <v>0</v>
      </c>
    </row>
    <row r="810" spans="1:30" x14ac:dyDescent="0.4">
      <c r="A810"/>
      <c r="B810" s="9" t="str">
        <f t="shared" ca="1" si="60"/>
        <v/>
      </c>
      <c r="C810" t="str">
        <f t="shared" si="61"/>
        <v/>
      </c>
      <c r="T810" s="9">
        <f t="shared" si="62"/>
        <v>0</v>
      </c>
      <c r="Z810" s="9">
        <f t="shared" si="63"/>
        <v>0</v>
      </c>
      <c r="AD810" s="9">
        <f t="shared" si="64"/>
        <v>0</v>
      </c>
    </row>
    <row r="811" spans="1:30" x14ac:dyDescent="0.4">
      <c r="A811"/>
      <c r="B811" s="9" t="str">
        <f t="shared" ca="1" si="60"/>
        <v/>
      </c>
      <c r="C811" t="str">
        <f t="shared" si="61"/>
        <v/>
      </c>
      <c r="T811" s="9">
        <f t="shared" si="62"/>
        <v>0</v>
      </c>
      <c r="Z811" s="9">
        <f t="shared" si="63"/>
        <v>0</v>
      </c>
      <c r="AD811" s="9">
        <f t="shared" si="64"/>
        <v>0</v>
      </c>
    </row>
    <row r="812" spans="1:30" x14ac:dyDescent="0.4">
      <c r="A812"/>
      <c r="B812" s="9" t="str">
        <f t="shared" ca="1" si="60"/>
        <v/>
      </c>
      <c r="C812" t="str">
        <f t="shared" si="61"/>
        <v/>
      </c>
      <c r="T812" s="9">
        <f t="shared" si="62"/>
        <v>0</v>
      </c>
      <c r="Z812" s="9">
        <f t="shared" si="63"/>
        <v>0</v>
      </c>
      <c r="AD812" s="9">
        <f t="shared" si="64"/>
        <v>0</v>
      </c>
    </row>
    <row r="813" spans="1:30" x14ac:dyDescent="0.4">
      <c r="A813"/>
      <c r="B813" s="9" t="str">
        <f t="shared" ca="1" si="60"/>
        <v/>
      </c>
      <c r="C813" t="str">
        <f t="shared" si="61"/>
        <v/>
      </c>
      <c r="T813" s="9">
        <f t="shared" si="62"/>
        <v>0</v>
      </c>
      <c r="Z813" s="9">
        <f t="shared" si="63"/>
        <v>0</v>
      </c>
      <c r="AD813" s="9">
        <f t="shared" si="64"/>
        <v>0</v>
      </c>
    </row>
    <row r="814" spans="1:30" x14ac:dyDescent="0.4">
      <c r="A814"/>
      <c r="B814" s="9" t="str">
        <f t="shared" ca="1" si="60"/>
        <v/>
      </c>
      <c r="C814" t="str">
        <f t="shared" si="61"/>
        <v/>
      </c>
      <c r="T814" s="9">
        <f t="shared" si="62"/>
        <v>0</v>
      </c>
      <c r="Z814" s="9">
        <f t="shared" si="63"/>
        <v>0</v>
      </c>
      <c r="AD814" s="9">
        <f t="shared" si="64"/>
        <v>0</v>
      </c>
    </row>
    <row r="815" spans="1:30" x14ac:dyDescent="0.4">
      <c r="A815"/>
      <c r="B815" s="9" t="str">
        <f t="shared" ca="1" si="60"/>
        <v/>
      </c>
      <c r="C815" t="str">
        <f t="shared" si="61"/>
        <v/>
      </c>
      <c r="T815" s="9">
        <f t="shared" si="62"/>
        <v>0</v>
      </c>
      <c r="Z815" s="9">
        <f t="shared" si="63"/>
        <v>0</v>
      </c>
      <c r="AD815" s="9">
        <f t="shared" si="64"/>
        <v>0</v>
      </c>
    </row>
    <row r="816" spans="1:30" x14ac:dyDescent="0.4">
      <c r="A816"/>
      <c r="B816" s="9" t="str">
        <f t="shared" ca="1" si="60"/>
        <v/>
      </c>
      <c r="C816" t="str">
        <f t="shared" si="61"/>
        <v/>
      </c>
      <c r="T816" s="9">
        <f t="shared" si="62"/>
        <v>0</v>
      </c>
      <c r="Z816" s="9">
        <f t="shared" si="63"/>
        <v>0</v>
      </c>
      <c r="AD816" s="9">
        <f t="shared" si="64"/>
        <v>0</v>
      </c>
    </row>
    <row r="817" spans="1:30" x14ac:dyDescent="0.4">
      <c r="A817"/>
      <c r="B817" s="9" t="str">
        <f t="shared" ca="1" si="60"/>
        <v/>
      </c>
      <c r="C817" t="str">
        <f t="shared" si="61"/>
        <v/>
      </c>
      <c r="T817" s="9">
        <f t="shared" si="62"/>
        <v>0</v>
      </c>
      <c r="Z817" s="9">
        <f t="shared" si="63"/>
        <v>0</v>
      </c>
      <c r="AD817" s="9">
        <f t="shared" si="64"/>
        <v>0</v>
      </c>
    </row>
    <row r="818" spans="1:30" x14ac:dyDescent="0.4">
      <c r="A818"/>
      <c r="B818" s="9" t="str">
        <f t="shared" ca="1" si="60"/>
        <v/>
      </c>
      <c r="C818" t="str">
        <f t="shared" si="61"/>
        <v/>
      </c>
      <c r="T818" s="9">
        <f t="shared" si="62"/>
        <v>0</v>
      </c>
      <c r="Z818" s="9">
        <f t="shared" si="63"/>
        <v>0</v>
      </c>
      <c r="AD818" s="9">
        <f t="shared" si="64"/>
        <v>0</v>
      </c>
    </row>
    <row r="819" spans="1:30" x14ac:dyDescent="0.4">
      <c r="A819"/>
      <c r="B819" s="9" t="str">
        <f t="shared" ca="1" si="60"/>
        <v/>
      </c>
      <c r="C819" t="str">
        <f t="shared" si="61"/>
        <v/>
      </c>
      <c r="T819" s="9">
        <f t="shared" si="62"/>
        <v>0</v>
      </c>
      <c r="Z819" s="9">
        <f t="shared" si="63"/>
        <v>0</v>
      </c>
      <c r="AD819" s="9">
        <f t="shared" si="64"/>
        <v>0</v>
      </c>
    </row>
    <row r="820" spans="1:30" x14ac:dyDescent="0.4">
      <c r="A820"/>
      <c r="B820" s="9" t="str">
        <f t="shared" ca="1" si="60"/>
        <v/>
      </c>
      <c r="C820" t="str">
        <f t="shared" si="61"/>
        <v/>
      </c>
      <c r="T820" s="9">
        <f t="shared" si="62"/>
        <v>0</v>
      </c>
      <c r="Z820" s="9">
        <f t="shared" si="63"/>
        <v>0</v>
      </c>
      <c r="AD820" s="9">
        <f t="shared" si="64"/>
        <v>0</v>
      </c>
    </row>
    <row r="821" spans="1:30" x14ac:dyDescent="0.4">
      <c r="A821"/>
      <c r="B821" s="9" t="str">
        <f t="shared" ca="1" si="60"/>
        <v/>
      </c>
      <c r="C821" t="str">
        <f t="shared" si="61"/>
        <v/>
      </c>
      <c r="T821" s="9">
        <f t="shared" si="62"/>
        <v>0</v>
      </c>
      <c r="Z821" s="9">
        <f t="shared" si="63"/>
        <v>0</v>
      </c>
      <c r="AD821" s="9">
        <f t="shared" si="64"/>
        <v>0</v>
      </c>
    </row>
    <row r="822" spans="1:30" x14ac:dyDescent="0.4">
      <c r="A822"/>
      <c r="B822" s="9" t="str">
        <f t="shared" ca="1" si="60"/>
        <v/>
      </c>
      <c r="C822" t="str">
        <f t="shared" si="61"/>
        <v/>
      </c>
      <c r="T822" s="9">
        <f t="shared" si="62"/>
        <v>0</v>
      </c>
      <c r="Z822" s="9">
        <f t="shared" si="63"/>
        <v>0</v>
      </c>
      <c r="AD822" s="9">
        <f t="shared" si="64"/>
        <v>0</v>
      </c>
    </row>
    <row r="823" spans="1:30" x14ac:dyDescent="0.4">
      <c r="A823"/>
      <c r="B823" s="9" t="str">
        <f t="shared" ca="1" si="60"/>
        <v/>
      </c>
      <c r="C823" t="str">
        <f t="shared" si="61"/>
        <v/>
      </c>
      <c r="T823" s="9">
        <f t="shared" si="62"/>
        <v>0</v>
      </c>
      <c r="Z823" s="9">
        <f t="shared" si="63"/>
        <v>0</v>
      </c>
      <c r="AD823" s="9">
        <f t="shared" si="64"/>
        <v>0</v>
      </c>
    </row>
    <row r="824" spans="1:30" x14ac:dyDescent="0.4">
      <c r="A824"/>
      <c r="B824" s="9" t="str">
        <f t="shared" ca="1" si="60"/>
        <v/>
      </c>
      <c r="C824" t="str">
        <f t="shared" si="61"/>
        <v/>
      </c>
      <c r="T824" s="9">
        <f t="shared" si="62"/>
        <v>0</v>
      </c>
      <c r="Z824" s="9">
        <f t="shared" si="63"/>
        <v>0</v>
      </c>
      <c r="AD824" s="9">
        <f t="shared" si="64"/>
        <v>0</v>
      </c>
    </row>
    <row r="825" spans="1:30" x14ac:dyDescent="0.4">
      <c r="A825"/>
      <c r="B825" s="9" t="str">
        <f t="shared" ca="1" si="60"/>
        <v/>
      </c>
      <c r="C825" t="str">
        <f t="shared" si="61"/>
        <v/>
      </c>
      <c r="T825" s="9">
        <f t="shared" si="62"/>
        <v>0</v>
      </c>
      <c r="Z825" s="9">
        <f t="shared" si="63"/>
        <v>0</v>
      </c>
      <c r="AD825" s="9">
        <f t="shared" si="64"/>
        <v>0</v>
      </c>
    </row>
    <row r="826" spans="1:30" x14ac:dyDescent="0.4">
      <c r="A826"/>
      <c r="B826" s="9" t="str">
        <f t="shared" ca="1" si="60"/>
        <v/>
      </c>
      <c r="C826" t="str">
        <f t="shared" si="61"/>
        <v/>
      </c>
      <c r="T826" s="9">
        <f t="shared" si="62"/>
        <v>0</v>
      </c>
      <c r="Z826" s="9">
        <f t="shared" si="63"/>
        <v>0</v>
      </c>
      <c r="AD826" s="9">
        <f t="shared" si="64"/>
        <v>0</v>
      </c>
    </row>
    <row r="827" spans="1:30" x14ac:dyDescent="0.4">
      <c r="A827"/>
      <c r="B827" s="9" t="str">
        <f t="shared" ca="1" si="60"/>
        <v/>
      </c>
      <c r="C827" t="str">
        <f t="shared" si="61"/>
        <v/>
      </c>
      <c r="T827" s="9">
        <f t="shared" si="62"/>
        <v>0</v>
      </c>
      <c r="Z827" s="9">
        <f t="shared" si="63"/>
        <v>0</v>
      </c>
      <c r="AD827" s="9">
        <f t="shared" si="64"/>
        <v>0</v>
      </c>
    </row>
    <row r="828" spans="1:30" x14ac:dyDescent="0.4">
      <c r="A828"/>
      <c r="B828" s="9" t="str">
        <f t="shared" ca="1" si="60"/>
        <v/>
      </c>
      <c r="C828" t="str">
        <f t="shared" si="61"/>
        <v/>
      </c>
      <c r="T828" s="9">
        <f t="shared" si="62"/>
        <v>0</v>
      </c>
      <c r="Z828" s="9">
        <f t="shared" si="63"/>
        <v>0</v>
      </c>
      <c r="AD828" s="9">
        <f t="shared" si="64"/>
        <v>0</v>
      </c>
    </row>
    <row r="829" spans="1:30" x14ac:dyDescent="0.4">
      <c r="A829"/>
      <c r="B829" s="9" t="str">
        <f t="shared" ca="1" si="60"/>
        <v/>
      </c>
      <c r="C829" t="str">
        <f t="shared" si="61"/>
        <v/>
      </c>
      <c r="T829" s="9">
        <f t="shared" si="62"/>
        <v>0</v>
      </c>
      <c r="Z829" s="9">
        <f t="shared" si="63"/>
        <v>0</v>
      </c>
      <c r="AD829" s="9">
        <f t="shared" si="64"/>
        <v>0</v>
      </c>
    </row>
    <row r="830" spans="1:30" x14ac:dyDescent="0.4">
      <c r="A830"/>
      <c r="B830" s="9" t="str">
        <f t="shared" ca="1" si="60"/>
        <v/>
      </c>
      <c r="C830" t="str">
        <f t="shared" si="61"/>
        <v/>
      </c>
      <c r="T830" s="9">
        <f t="shared" si="62"/>
        <v>0</v>
      </c>
      <c r="Z830" s="9">
        <f t="shared" si="63"/>
        <v>0</v>
      </c>
      <c r="AD830" s="9">
        <f t="shared" si="64"/>
        <v>0</v>
      </c>
    </row>
    <row r="831" spans="1:30" x14ac:dyDescent="0.4">
      <c r="A831"/>
      <c r="B831" s="9" t="str">
        <f t="shared" ca="1" si="60"/>
        <v/>
      </c>
      <c r="C831" t="str">
        <f t="shared" si="61"/>
        <v/>
      </c>
      <c r="T831" s="9">
        <f t="shared" si="62"/>
        <v>0</v>
      </c>
      <c r="Z831" s="9">
        <f t="shared" si="63"/>
        <v>0</v>
      </c>
      <c r="AD831" s="9">
        <f t="shared" si="64"/>
        <v>0</v>
      </c>
    </row>
    <row r="832" spans="1:30" x14ac:dyDescent="0.4">
      <c r="A832"/>
      <c r="B832" s="9" t="str">
        <f t="shared" ca="1" si="60"/>
        <v/>
      </c>
      <c r="C832" t="str">
        <f t="shared" si="61"/>
        <v/>
      </c>
      <c r="T832" s="9">
        <f t="shared" si="62"/>
        <v>0</v>
      </c>
      <c r="Z832" s="9">
        <f t="shared" si="63"/>
        <v>0</v>
      </c>
      <c r="AD832" s="9">
        <f t="shared" si="64"/>
        <v>0</v>
      </c>
    </row>
    <row r="833" spans="1:30" x14ac:dyDescent="0.4">
      <c r="A833"/>
      <c r="B833" s="9" t="str">
        <f t="shared" ca="1" si="60"/>
        <v/>
      </c>
      <c r="C833" t="str">
        <f t="shared" si="61"/>
        <v/>
      </c>
      <c r="T833" s="9">
        <f t="shared" si="62"/>
        <v>0</v>
      </c>
      <c r="Z833" s="9">
        <f t="shared" si="63"/>
        <v>0</v>
      </c>
      <c r="AD833" s="9">
        <f t="shared" si="64"/>
        <v>0</v>
      </c>
    </row>
    <row r="834" spans="1:30" x14ac:dyDescent="0.4">
      <c r="A834"/>
      <c r="B834" s="9" t="str">
        <f t="shared" ca="1" si="60"/>
        <v/>
      </c>
      <c r="C834" t="str">
        <f t="shared" si="61"/>
        <v/>
      </c>
      <c r="T834" s="9">
        <f t="shared" si="62"/>
        <v>0</v>
      </c>
      <c r="Z834" s="9">
        <f t="shared" si="63"/>
        <v>0</v>
      </c>
      <c r="AD834" s="9">
        <f t="shared" si="64"/>
        <v>0</v>
      </c>
    </row>
    <row r="835" spans="1:30" x14ac:dyDescent="0.4">
      <c r="A835"/>
      <c r="B835" s="9" t="str">
        <f t="shared" ref="B835:B898" ca="1" si="65">TEXT(IFERROR(LOOKUP(10^8,MID(A835,ROW(INDIRECT("1:"&amp;LEN(A835)-11)),8)+0),IF(A835="","",TRIM(RIGHT(SUBSTITUTE(LEFT(A835,LEN(A835)-4),"\",REPT(" ",50)),50)))),"00000000")</f>
        <v/>
      </c>
      <c r="C835" t="str">
        <f t="shared" ref="C835:C898" si="66">IF(A835="","",$J$1&amp;"\"&amp;A835)</f>
        <v/>
      </c>
      <c r="T835" s="9">
        <f t="shared" si="62"/>
        <v>0</v>
      </c>
      <c r="Z835" s="9">
        <f t="shared" si="63"/>
        <v>0</v>
      </c>
      <c r="AD835" s="9">
        <f t="shared" si="64"/>
        <v>0</v>
      </c>
    </row>
    <row r="836" spans="1:30" x14ac:dyDescent="0.4">
      <c r="A836"/>
      <c r="B836" s="9" t="str">
        <f t="shared" ca="1" si="65"/>
        <v/>
      </c>
      <c r="C836" t="str">
        <f t="shared" si="66"/>
        <v/>
      </c>
      <c r="T836" s="9">
        <f t="shared" si="62"/>
        <v>0</v>
      </c>
      <c r="Z836" s="9">
        <f t="shared" si="63"/>
        <v>0</v>
      </c>
      <c r="AD836" s="9">
        <f t="shared" si="64"/>
        <v>0</v>
      </c>
    </row>
    <row r="837" spans="1:30" x14ac:dyDescent="0.4">
      <c r="A837"/>
      <c r="B837" s="9" t="str">
        <f t="shared" ca="1" si="65"/>
        <v/>
      </c>
      <c r="C837" t="str">
        <f t="shared" si="66"/>
        <v/>
      </c>
      <c r="T837" s="9">
        <f t="shared" si="62"/>
        <v>0</v>
      </c>
      <c r="Z837" s="9">
        <f t="shared" si="63"/>
        <v>0</v>
      </c>
      <c r="AD837" s="9">
        <f t="shared" si="64"/>
        <v>0</v>
      </c>
    </row>
    <row r="838" spans="1:30" x14ac:dyDescent="0.4">
      <c r="A838"/>
      <c r="B838" s="9" t="str">
        <f t="shared" ca="1" si="65"/>
        <v/>
      </c>
      <c r="C838" t="str">
        <f t="shared" si="66"/>
        <v/>
      </c>
      <c r="T838" s="9">
        <f t="shared" si="62"/>
        <v>0</v>
      </c>
      <c r="Z838" s="9">
        <f t="shared" si="63"/>
        <v>0</v>
      </c>
      <c r="AD838" s="9">
        <f t="shared" si="64"/>
        <v>0</v>
      </c>
    </row>
    <row r="839" spans="1:30" x14ac:dyDescent="0.4">
      <c r="A839"/>
      <c r="B839" s="9" t="str">
        <f t="shared" ca="1" si="65"/>
        <v/>
      </c>
      <c r="C839" t="str">
        <f t="shared" si="66"/>
        <v/>
      </c>
      <c r="T839" s="9">
        <f t="shared" si="62"/>
        <v>0</v>
      </c>
      <c r="Z839" s="9">
        <f t="shared" si="63"/>
        <v>0</v>
      </c>
      <c r="AD839" s="9">
        <f t="shared" si="64"/>
        <v>0</v>
      </c>
    </row>
    <row r="840" spans="1:30" x14ac:dyDescent="0.4">
      <c r="A840"/>
      <c r="B840" s="9" t="str">
        <f t="shared" ca="1" si="65"/>
        <v/>
      </c>
      <c r="C840" t="str">
        <f t="shared" si="66"/>
        <v/>
      </c>
      <c r="T840" s="9">
        <f t="shared" ref="T840:T903" si="67">(COUNTIFS(TH_TK,N840,TH_DuNo,O840,TH_DuNoNT,P840,TH_DuCo,Q840,TH_DuCoNT,R840,TH_SoLuong,S840)&gt;0)*1</f>
        <v>0</v>
      </c>
      <c r="Z840" s="9">
        <f t="shared" ref="Z840:Z903" si="68">(COUNTIFS(NV,U840,TK,V840,TongNo,W840,TongCo,X840,SoLuong,Y840)&gt;0)*1</f>
        <v>0</v>
      </c>
      <c r="AD840" s="9">
        <f t="shared" ref="AD840:AD903" si="69">COUNTIFS(ReportType,AA840,ItemCode,AB840,Amount,AC840)</f>
        <v>0</v>
      </c>
    </row>
    <row r="841" spans="1:30" x14ac:dyDescent="0.4">
      <c r="A841"/>
      <c r="B841" s="9" t="str">
        <f t="shared" ca="1" si="65"/>
        <v/>
      </c>
      <c r="C841" t="str">
        <f t="shared" si="66"/>
        <v/>
      </c>
      <c r="T841" s="9">
        <f t="shared" si="67"/>
        <v>0</v>
      </c>
      <c r="Z841" s="9">
        <f t="shared" si="68"/>
        <v>0</v>
      </c>
      <c r="AD841" s="9">
        <f t="shared" si="69"/>
        <v>0</v>
      </c>
    </row>
    <row r="842" spans="1:30" x14ac:dyDescent="0.4">
      <c r="A842"/>
      <c r="B842" s="9" t="str">
        <f t="shared" ca="1" si="65"/>
        <v/>
      </c>
      <c r="C842" t="str">
        <f t="shared" si="66"/>
        <v/>
      </c>
      <c r="T842" s="9">
        <f t="shared" si="67"/>
        <v>0</v>
      </c>
      <c r="Z842" s="9">
        <f t="shared" si="68"/>
        <v>0</v>
      </c>
      <c r="AD842" s="9">
        <f t="shared" si="69"/>
        <v>0</v>
      </c>
    </row>
    <row r="843" spans="1:30" x14ac:dyDescent="0.4">
      <c r="A843"/>
      <c r="B843" s="9" t="str">
        <f t="shared" ca="1" si="65"/>
        <v/>
      </c>
      <c r="C843" t="str">
        <f t="shared" si="66"/>
        <v/>
      </c>
      <c r="T843" s="9">
        <f t="shared" si="67"/>
        <v>0</v>
      </c>
      <c r="Z843" s="9">
        <f t="shared" si="68"/>
        <v>0</v>
      </c>
      <c r="AD843" s="9">
        <f t="shared" si="69"/>
        <v>0</v>
      </c>
    </row>
    <row r="844" spans="1:30" x14ac:dyDescent="0.4">
      <c r="A844"/>
      <c r="B844" s="9" t="str">
        <f t="shared" ca="1" si="65"/>
        <v/>
      </c>
      <c r="C844" t="str">
        <f t="shared" si="66"/>
        <v/>
      </c>
      <c r="T844" s="9">
        <f t="shared" si="67"/>
        <v>0</v>
      </c>
      <c r="Z844" s="9">
        <f t="shared" si="68"/>
        <v>0</v>
      </c>
      <c r="AD844" s="9">
        <f t="shared" si="69"/>
        <v>0</v>
      </c>
    </row>
    <row r="845" spans="1:30" x14ac:dyDescent="0.4">
      <c r="A845"/>
      <c r="B845" s="9" t="str">
        <f t="shared" ca="1" si="65"/>
        <v/>
      </c>
      <c r="C845" t="str">
        <f t="shared" si="66"/>
        <v/>
      </c>
      <c r="T845" s="9">
        <f t="shared" si="67"/>
        <v>0</v>
      </c>
      <c r="Z845" s="9">
        <f t="shared" si="68"/>
        <v>0</v>
      </c>
      <c r="AD845" s="9">
        <f t="shared" si="69"/>
        <v>0</v>
      </c>
    </row>
    <row r="846" spans="1:30" x14ac:dyDescent="0.4">
      <c r="A846"/>
      <c r="B846" s="9" t="str">
        <f t="shared" ca="1" si="65"/>
        <v/>
      </c>
      <c r="C846" t="str">
        <f t="shared" si="66"/>
        <v/>
      </c>
      <c r="T846" s="9">
        <f t="shared" si="67"/>
        <v>0</v>
      </c>
      <c r="Z846" s="9">
        <f t="shared" si="68"/>
        <v>0</v>
      </c>
      <c r="AD846" s="9">
        <f t="shared" si="69"/>
        <v>0</v>
      </c>
    </row>
    <row r="847" spans="1:30" x14ac:dyDescent="0.4">
      <c r="A847"/>
      <c r="B847" s="9" t="str">
        <f t="shared" ca="1" si="65"/>
        <v/>
      </c>
      <c r="C847" t="str">
        <f t="shared" si="66"/>
        <v/>
      </c>
      <c r="T847" s="9">
        <f t="shared" si="67"/>
        <v>0</v>
      </c>
      <c r="Z847" s="9">
        <f t="shared" si="68"/>
        <v>0</v>
      </c>
      <c r="AD847" s="9">
        <f t="shared" si="69"/>
        <v>0</v>
      </c>
    </row>
    <row r="848" spans="1:30" x14ac:dyDescent="0.4">
      <c r="A848"/>
      <c r="B848" s="9" t="str">
        <f t="shared" ca="1" si="65"/>
        <v/>
      </c>
      <c r="C848" t="str">
        <f t="shared" si="66"/>
        <v/>
      </c>
      <c r="T848" s="9">
        <f t="shared" si="67"/>
        <v>0</v>
      </c>
      <c r="Z848" s="9">
        <f t="shared" si="68"/>
        <v>0</v>
      </c>
      <c r="AD848" s="9">
        <f t="shared" si="69"/>
        <v>0</v>
      </c>
    </row>
    <row r="849" spans="1:30" x14ac:dyDescent="0.4">
      <c r="A849"/>
      <c r="B849" s="9" t="str">
        <f t="shared" ca="1" si="65"/>
        <v/>
      </c>
      <c r="C849" t="str">
        <f t="shared" si="66"/>
        <v/>
      </c>
      <c r="T849" s="9">
        <f t="shared" si="67"/>
        <v>0</v>
      </c>
      <c r="Z849" s="9">
        <f t="shared" si="68"/>
        <v>0</v>
      </c>
      <c r="AD849" s="9">
        <f t="shared" si="69"/>
        <v>0</v>
      </c>
    </row>
    <row r="850" spans="1:30" x14ac:dyDescent="0.4">
      <c r="A850"/>
      <c r="B850" s="9" t="str">
        <f t="shared" ca="1" si="65"/>
        <v/>
      </c>
      <c r="C850" t="str">
        <f t="shared" si="66"/>
        <v/>
      </c>
      <c r="T850" s="9">
        <f t="shared" si="67"/>
        <v>0</v>
      </c>
      <c r="Z850" s="9">
        <f t="shared" si="68"/>
        <v>0</v>
      </c>
      <c r="AD850" s="9">
        <f t="shared" si="69"/>
        <v>0</v>
      </c>
    </row>
    <row r="851" spans="1:30" x14ac:dyDescent="0.4">
      <c r="A851"/>
      <c r="B851" s="9" t="str">
        <f t="shared" ca="1" si="65"/>
        <v/>
      </c>
      <c r="C851" t="str">
        <f t="shared" si="66"/>
        <v/>
      </c>
      <c r="T851" s="9">
        <f t="shared" si="67"/>
        <v>0</v>
      </c>
      <c r="Z851" s="9">
        <f t="shared" si="68"/>
        <v>0</v>
      </c>
      <c r="AD851" s="9">
        <f t="shared" si="69"/>
        <v>0</v>
      </c>
    </row>
    <row r="852" spans="1:30" x14ac:dyDescent="0.4">
      <c r="A852"/>
      <c r="B852" s="9" t="str">
        <f t="shared" ca="1" si="65"/>
        <v/>
      </c>
      <c r="C852" t="str">
        <f t="shared" si="66"/>
        <v/>
      </c>
      <c r="T852" s="9">
        <f t="shared" si="67"/>
        <v>0</v>
      </c>
      <c r="Z852" s="9">
        <f t="shared" si="68"/>
        <v>0</v>
      </c>
      <c r="AD852" s="9">
        <f t="shared" si="69"/>
        <v>0</v>
      </c>
    </row>
    <row r="853" spans="1:30" x14ac:dyDescent="0.4">
      <c r="A853"/>
      <c r="B853" s="9" t="str">
        <f t="shared" ca="1" si="65"/>
        <v/>
      </c>
      <c r="C853" t="str">
        <f t="shared" si="66"/>
        <v/>
      </c>
      <c r="T853" s="9">
        <f t="shared" si="67"/>
        <v>0</v>
      </c>
      <c r="Z853" s="9">
        <f t="shared" si="68"/>
        <v>0</v>
      </c>
      <c r="AD853" s="9">
        <f t="shared" si="69"/>
        <v>0</v>
      </c>
    </row>
    <row r="854" spans="1:30" x14ac:dyDescent="0.4">
      <c r="A854"/>
      <c r="B854" s="9" t="str">
        <f t="shared" ca="1" si="65"/>
        <v/>
      </c>
      <c r="C854" t="str">
        <f t="shared" si="66"/>
        <v/>
      </c>
      <c r="T854" s="9">
        <f t="shared" si="67"/>
        <v>0</v>
      </c>
      <c r="Z854" s="9">
        <f t="shared" si="68"/>
        <v>0</v>
      </c>
      <c r="AD854" s="9">
        <f t="shared" si="69"/>
        <v>0</v>
      </c>
    </row>
    <row r="855" spans="1:30" x14ac:dyDescent="0.4">
      <c r="A855"/>
      <c r="B855" s="9" t="str">
        <f t="shared" ca="1" si="65"/>
        <v/>
      </c>
      <c r="C855" t="str">
        <f t="shared" si="66"/>
        <v/>
      </c>
      <c r="T855" s="9">
        <f t="shared" si="67"/>
        <v>0</v>
      </c>
      <c r="Z855" s="9">
        <f t="shared" si="68"/>
        <v>0</v>
      </c>
      <c r="AD855" s="9">
        <f t="shared" si="69"/>
        <v>0</v>
      </c>
    </row>
    <row r="856" spans="1:30" x14ac:dyDescent="0.4">
      <c r="A856"/>
      <c r="B856" s="9" t="str">
        <f t="shared" ca="1" si="65"/>
        <v/>
      </c>
      <c r="C856" t="str">
        <f t="shared" si="66"/>
        <v/>
      </c>
      <c r="T856" s="9">
        <f t="shared" si="67"/>
        <v>0</v>
      </c>
      <c r="Z856" s="9">
        <f t="shared" si="68"/>
        <v>0</v>
      </c>
      <c r="AD856" s="9">
        <f t="shared" si="69"/>
        <v>0</v>
      </c>
    </row>
    <row r="857" spans="1:30" x14ac:dyDescent="0.4">
      <c r="A857"/>
      <c r="B857" s="9" t="str">
        <f t="shared" ca="1" si="65"/>
        <v/>
      </c>
      <c r="C857" t="str">
        <f t="shared" si="66"/>
        <v/>
      </c>
      <c r="T857" s="9">
        <f t="shared" si="67"/>
        <v>0</v>
      </c>
      <c r="Z857" s="9">
        <f t="shared" si="68"/>
        <v>0</v>
      </c>
      <c r="AD857" s="9">
        <f t="shared" si="69"/>
        <v>0</v>
      </c>
    </row>
    <row r="858" spans="1:30" x14ac:dyDescent="0.4">
      <c r="A858"/>
      <c r="B858" s="9" t="str">
        <f t="shared" ca="1" si="65"/>
        <v/>
      </c>
      <c r="C858" t="str">
        <f t="shared" si="66"/>
        <v/>
      </c>
      <c r="T858" s="9">
        <f t="shared" si="67"/>
        <v>0</v>
      </c>
      <c r="Z858" s="9">
        <f t="shared" si="68"/>
        <v>0</v>
      </c>
      <c r="AD858" s="9">
        <f t="shared" si="69"/>
        <v>0</v>
      </c>
    </row>
    <row r="859" spans="1:30" x14ac:dyDescent="0.4">
      <c r="A859"/>
      <c r="B859" s="9" t="str">
        <f t="shared" ca="1" si="65"/>
        <v/>
      </c>
      <c r="C859" t="str">
        <f t="shared" si="66"/>
        <v/>
      </c>
      <c r="T859" s="9">
        <f t="shared" si="67"/>
        <v>0</v>
      </c>
      <c r="Z859" s="9">
        <f t="shared" si="68"/>
        <v>0</v>
      </c>
      <c r="AD859" s="9">
        <f t="shared" si="69"/>
        <v>0</v>
      </c>
    </row>
    <row r="860" spans="1:30" x14ac:dyDescent="0.4">
      <c r="A860"/>
      <c r="B860" s="9" t="str">
        <f t="shared" ca="1" si="65"/>
        <v/>
      </c>
      <c r="C860" t="str">
        <f t="shared" si="66"/>
        <v/>
      </c>
      <c r="T860" s="9">
        <f t="shared" si="67"/>
        <v>0</v>
      </c>
      <c r="Z860" s="9">
        <f t="shared" si="68"/>
        <v>0</v>
      </c>
      <c r="AD860" s="9">
        <f t="shared" si="69"/>
        <v>0</v>
      </c>
    </row>
    <row r="861" spans="1:30" x14ac:dyDescent="0.4">
      <c r="A861"/>
      <c r="B861" s="9" t="str">
        <f t="shared" ca="1" si="65"/>
        <v/>
      </c>
      <c r="C861" t="str">
        <f t="shared" si="66"/>
        <v/>
      </c>
      <c r="T861" s="9">
        <f t="shared" si="67"/>
        <v>0</v>
      </c>
      <c r="Z861" s="9">
        <f t="shared" si="68"/>
        <v>0</v>
      </c>
      <c r="AD861" s="9">
        <f t="shared" si="69"/>
        <v>0</v>
      </c>
    </row>
    <row r="862" spans="1:30" x14ac:dyDescent="0.4">
      <c r="A862"/>
      <c r="B862" s="9" t="str">
        <f t="shared" ca="1" si="65"/>
        <v/>
      </c>
      <c r="C862" t="str">
        <f t="shared" si="66"/>
        <v/>
      </c>
      <c r="T862" s="9">
        <f t="shared" si="67"/>
        <v>0</v>
      </c>
      <c r="Z862" s="9">
        <f t="shared" si="68"/>
        <v>0</v>
      </c>
      <c r="AD862" s="9">
        <f t="shared" si="69"/>
        <v>0</v>
      </c>
    </row>
    <row r="863" spans="1:30" x14ac:dyDescent="0.4">
      <c r="A863"/>
      <c r="B863" s="9" t="str">
        <f t="shared" ca="1" si="65"/>
        <v/>
      </c>
      <c r="C863" t="str">
        <f t="shared" si="66"/>
        <v/>
      </c>
      <c r="T863" s="9">
        <f t="shared" si="67"/>
        <v>0</v>
      </c>
      <c r="Z863" s="9">
        <f t="shared" si="68"/>
        <v>0</v>
      </c>
      <c r="AD863" s="9">
        <f t="shared" si="69"/>
        <v>0</v>
      </c>
    </row>
    <row r="864" spans="1:30" x14ac:dyDescent="0.4">
      <c r="A864"/>
      <c r="B864" s="9" t="str">
        <f t="shared" ca="1" si="65"/>
        <v/>
      </c>
      <c r="C864" t="str">
        <f t="shared" si="66"/>
        <v/>
      </c>
      <c r="T864" s="9">
        <f t="shared" si="67"/>
        <v>0</v>
      </c>
      <c r="Z864" s="9">
        <f t="shared" si="68"/>
        <v>0</v>
      </c>
      <c r="AD864" s="9">
        <f t="shared" si="69"/>
        <v>0</v>
      </c>
    </row>
    <row r="865" spans="1:30" x14ac:dyDescent="0.4">
      <c r="A865"/>
      <c r="B865" s="9" t="str">
        <f t="shared" ca="1" si="65"/>
        <v/>
      </c>
      <c r="C865" t="str">
        <f t="shared" si="66"/>
        <v/>
      </c>
      <c r="T865" s="9">
        <f t="shared" si="67"/>
        <v>0</v>
      </c>
      <c r="Z865" s="9">
        <f t="shared" si="68"/>
        <v>0</v>
      </c>
      <c r="AD865" s="9">
        <f t="shared" si="69"/>
        <v>0</v>
      </c>
    </row>
    <row r="866" spans="1:30" x14ac:dyDescent="0.4">
      <c r="A866"/>
      <c r="B866" s="9" t="str">
        <f t="shared" ca="1" si="65"/>
        <v/>
      </c>
      <c r="C866" t="str">
        <f t="shared" si="66"/>
        <v/>
      </c>
      <c r="T866" s="9">
        <f t="shared" si="67"/>
        <v>0</v>
      </c>
      <c r="Z866" s="9">
        <f t="shared" si="68"/>
        <v>0</v>
      </c>
      <c r="AD866" s="9">
        <f t="shared" si="69"/>
        <v>0</v>
      </c>
    </row>
    <row r="867" spans="1:30" x14ac:dyDescent="0.4">
      <c r="A867"/>
      <c r="B867" s="9" t="str">
        <f t="shared" ca="1" si="65"/>
        <v/>
      </c>
      <c r="C867" t="str">
        <f t="shared" si="66"/>
        <v/>
      </c>
      <c r="T867" s="9">
        <f t="shared" si="67"/>
        <v>0</v>
      </c>
      <c r="Z867" s="9">
        <f t="shared" si="68"/>
        <v>0</v>
      </c>
      <c r="AD867" s="9">
        <f t="shared" si="69"/>
        <v>0</v>
      </c>
    </row>
    <row r="868" spans="1:30" x14ac:dyDescent="0.4">
      <c r="A868"/>
      <c r="B868" s="9" t="str">
        <f t="shared" ca="1" si="65"/>
        <v/>
      </c>
      <c r="C868" t="str">
        <f t="shared" si="66"/>
        <v/>
      </c>
      <c r="T868" s="9">
        <f t="shared" si="67"/>
        <v>0</v>
      </c>
      <c r="Z868" s="9">
        <f t="shared" si="68"/>
        <v>0</v>
      </c>
      <c r="AD868" s="9">
        <f t="shared" si="69"/>
        <v>0</v>
      </c>
    </row>
    <row r="869" spans="1:30" x14ac:dyDescent="0.4">
      <c r="A869"/>
      <c r="B869" s="9" t="str">
        <f t="shared" ca="1" si="65"/>
        <v/>
      </c>
      <c r="C869" t="str">
        <f t="shared" si="66"/>
        <v/>
      </c>
      <c r="T869" s="9">
        <f t="shared" si="67"/>
        <v>0</v>
      </c>
      <c r="Z869" s="9">
        <f t="shared" si="68"/>
        <v>0</v>
      </c>
      <c r="AD869" s="9">
        <f t="shared" si="69"/>
        <v>0</v>
      </c>
    </row>
    <row r="870" spans="1:30" x14ac:dyDescent="0.4">
      <c r="A870"/>
      <c r="B870" s="9" t="str">
        <f t="shared" ca="1" si="65"/>
        <v/>
      </c>
      <c r="C870" t="str">
        <f t="shared" si="66"/>
        <v/>
      </c>
      <c r="T870" s="9">
        <f t="shared" si="67"/>
        <v>0</v>
      </c>
      <c r="Z870" s="9">
        <f t="shared" si="68"/>
        <v>0</v>
      </c>
      <c r="AD870" s="9">
        <f t="shared" si="69"/>
        <v>0</v>
      </c>
    </row>
    <row r="871" spans="1:30" x14ac:dyDescent="0.4">
      <c r="A871"/>
      <c r="B871" s="9" t="str">
        <f t="shared" ca="1" si="65"/>
        <v/>
      </c>
      <c r="C871" t="str">
        <f t="shared" si="66"/>
        <v/>
      </c>
      <c r="T871" s="9">
        <f t="shared" si="67"/>
        <v>0</v>
      </c>
      <c r="Z871" s="9">
        <f t="shared" si="68"/>
        <v>0</v>
      </c>
      <c r="AD871" s="9">
        <f t="shared" si="69"/>
        <v>0</v>
      </c>
    </row>
    <row r="872" spans="1:30" x14ac:dyDescent="0.4">
      <c r="A872"/>
      <c r="B872" s="9" t="str">
        <f t="shared" ca="1" si="65"/>
        <v/>
      </c>
      <c r="C872" t="str">
        <f t="shared" si="66"/>
        <v/>
      </c>
      <c r="T872" s="9">
        <f t="shared" si="67"/>
        <v>0</v>
      </c>
      <c r="Z872" s="9">
        <f t="shared" si="68"/>
        <v>0</v>
      </c>
      <c r="AD872" s="9">
        <f t="shared" si="69"/>
        <v>0</v>
      </c>
    </row>
    <row r="873" spans="1:30" x14ac:dyDescent="0.4">
      <c r="A873"/>
      <c r="B873" s="9" t="str">
        <f t="shared" ca="1" si="65"/>
        <v/>
      </c>
      <c r="C873" t="str">
        <f t="shared" si="66"/>
        <v/>
      </c>
      <c r="T873" s="9">
        <f t="shared" si="67"/>
        <v>0</v>
      </c>
      <c r="Z873" s="9">
        <f t="shared" si="68"/>
        <v>0</v>
      </c>
      <c r="AD873" s="9">
        <f t="shared" si="69"/>
        <v>0</v>
      </c>
    </row>
    <row r="874" spans="1:30" x14ac:dyDescent="0.4">
      <c r="A874"/>
      <c r="B874" s="9" t="str">
        <f t="shared" ca="1" si="65"/>
        <v/>
      </c>
      <c r="C874" t="str">
        <f t="shared" si="66"/>
        <v/>
      </c>
      <c r="T874" s="9">
        <f t="shared" si="67"/>
        <v>0</v>
      </c>
      <c r="Z874" s="9">
        <f t="shared" si="68"/>
        <v>0</v>
      </c>
      <c r="AD874" s="9">
        <f t="shared" si="69"/>
        <v>0</v>
      </c>
    </row>
    <row r="875" spans="1:30" x14ac:dyDescent="0.4">
      <c r="A875"/>
      <c r="B875" s="9" t="str">
        <f t="shared" ca="1" si="65"/>
        <v/>
      </c>
      <c r="C875" t="str">
        <f t="shared" si="66"/>
        <v/>
      </c>
      <c r="T875" s="9">
        <f t="shared" si="67"/>
        <v>0</v>
      </c>
      <c r="Z875" s="9">
        <f t="shared" si="68"/>
        <v>0</v>
      </c>
      <c r="AD875" s="9">
        <f t="shared" si="69"/>
        <v>0</v>
      </c>
    </row>
    <row r="876" spans="1:30" x14ac:dyDescent="0.4">
      <c r="A876"/>
      <c r="B876" s="9" t="str">
        <f t="shared" ca="1" si="65"/>
        <v/>
      </c>
      <c r="C876" t="str">
        <f t="shared" si="66"/>
        <v/>
      </c>
      <c r="T876" s="9">
        <f t="shared" si="67"/>
        <v>0</v>
      </c>
      <c r="Z876" s="9">
        <f t="shared" si="68"/>
        <v>0</v>
      </c>
      <c r="AD876" s="9">
        <f t="shared" si="69"/>
        <v>0</v>
      </c>
    </row>
    <row r="877" spans="1:30" x14ac:dyDescent="0.4">
      <c r="A877"/>
      <c r="B877" s="9" t="str">
        <f t="shared" ca="1" si="65"/>
        <v/>
      </c>
      <c r="C877" t="str">
        <f t="shared" si="66"/>
        <v/>
      </c>
      <c r="T877" s="9">
        <f t="shared" si="67"/>
        <v>0</v>
      </c>
      <c r="Z877" s="9">
        <f t="shared" si="68"/>
        <v>0</v>
      </c>
      <c r="AD877" s="9">
        <f t="shared" si="69"/>
        <v>0</v>
      </c>
    </row>
    <row r="878" spans="1:30" x14ac:dyDescent="0.4">
      <c r="A878"/>
      <c r="B878" s="9" t="str">
        <f t="shared" ca="1" si="65"/>
        <v/>
      </c>
      <c r="C878" t="str">
        <f t="shared" si="66"/>
        <v/>
      </c>
      <c r="T878" s="9">
        <f t="shared" si="67"/>
        <v>0</v>
      </c>
      <c r="Z878" s="9">
        <f t="shared" si="68"/>
        <v>0</v>
      </c>
      <c r="AD878" s="9">
        <f t="shared" si="69"/>
        <v>0</v>
      </c>
    </row>
    <row r="879" spans="1:30" x14ac:dyDescent="0.4">
      <c r="A879"/>
      <c r="B879" s="9" t="str">
        <f t="shared" ca="1" si="65"/>
        <v/>
      </c>
      <c r="C879" t="str">
        <f t="shared" si="66"/>
        <v/>
      </c>
      <c r="T879" s="9">
        <f t="shared" si="67"/>
        <v>0</v>
      </c>
      <c r="Z879" s="9">
        <f t="shared" si="68"/>
        <v>0</v>
      </c>
      <c r="AD879" s="9">
        <f t="shared" si="69"/>
        <v>0</v>
      </c>
    </row>
    <row r="880" spans="1:30" x14ac:dyDescent="0.4">
      <c r="A880"/>
      <c r="B880" s="9" t="str">
        <f t="shared" ca="1" si="65"/>
        <v/>
      </c>
      <c r="C880" t="str">
        <f t="shared" si="66"/>
        <v/>
      </c>
      <c r="T880" s="9">
        <f t="shared" si="67"/>
        <v>0</v>
      </c>
      <c r="Z880" s="9">
        <f t="shared" si="68"/>
        <v>0</v>
      </c>
      <c r="AD880" s="9">
        <f t="shared" si="69"/>
        <v>0</v>
      </c>
    </row>
    <row r="881" spans="1:30" x14ac:dyDescent="0.4">
      <c r="A881"/>
      <c r="B881" s="9" t="str">
        <f t="shared" ca="1" si="65"/>
        <v/>
      </c>
      <c r="C881" t="str">
        <f t="shared" si="66"/>
        <v/>
      </c>
      <c r="T881" s="9">
        <f t="shared" si="67"/>
        <v>0</v>
      </c>
      <c r="Z881" s="9">
        <f t="shared" si="68"/>
        <v>0</v>
      </c>
      <c r="AD881" s="9">
        <f t="shared" si="69"/>
        <v>0</v>
      </c>
    </row>
    <row r="882" spans="1:30" x14ac:dyDescent="0.4">
      <c r="A882"/>
      <c r="B882" s="9" t="str">
        <f t="shared" ca="1" si="65"/>
        <v/>
      </c>
      <c r="C882" t="str">
        <f t="shared" si="66"/>
        <v/>
      </c>
      <c r="T882" s="9">
        <f t="shared" si="67"/>
        <v>0</v>
      </c>
      <c r="Z882" s="9">
        <f t="shared" si="68"/>
        <v>0</v>
      </c>
      <c r="AD882" s="9">
        <f t="shared" si="69"/>
        <v>0</v>
      </c>
    </row>
    <row r="883" spans="1:30" x14ac:dyDescent="0.4">
      <c r="A883"/>
      <c r="B883" s="9" t="str">
        <f t="shared" ca="1" si="65"/>
        <v/>
      </c>
      <c r="C883" t="str">
        <f t="shared" si="66"/>
        <v/>
      </c>
      <c r="T883" s="9">
        <f t="shared" si="67"/>
        <v>0</v>
      </c>
      <c r="Z883" s="9">
        <f t="shared" si="68"/>
        <v>0</v>
      </c>
      <c r="AD883" s="9">
        <f t="shared" si="69"/>
        <v>0</v>
      </c>
    </row>
    <row r="884" spans="1:30" x14ac:dyDescent="0.4">
      <c r="A884"/>
      <c r="B884" s="9" t="str">
        <f t="shared" ca="1" si="65"/>
        <v/>
      </c>
      <c r="C884" t="str">
        <f t="shared" si="66"/>
        <v/>
      </c>
      <c r="T884" s="9">
        <f t="shared" si="67"/>
        <v>0</v>
      </c>
      <c r="Z884" s="9">
        <f t="shared" si="68"/>
        <v>0</v>
      </c>
      <c r="AD884" s="9">
        <f t="shared" si="69"/>
        <v>0</v>
      </c>
    </row>
    <row r="885" spans="1:30" x14ac:dyDescent="0.4">
      <c r="A885"/>
      <c r="B885" s="9" t="str">
        <f t="shared" ca="1" si="65"/>
        <v/>
      </c>
      <c r="C885" t="str">
        <f t="shared" si="66"/>
        <v/>
      </c>
      <c r="T885" s="9">
        <f t="shared" si="67"/>
        <v>0</v>
      </c>
      <c r="Z885" s="9">
        <f t="shared" si="68"/>
        <v>0</v>
      </c>
      <c r="AD885" s="9">
        <f t="shared" si="69"/>
        <v>0</v>
      </c>
    </row>
    <row r="886" spans="1:30" x14ac:dyDescent="0.4">
      <c r="A886"/>
      <c r="B886" s="9" t="str">
        <f t="shared" ca="1" si="65"/>
        <v/>
      </c>
      <c r="C886" t="str">
        <f t="shared" si="66"/>
        <v/>
      </c>
      <c r="T886" s="9">
        <f t="shared" si="67"/>
        <v>0</v>
      </c>
      <c r="Z886" s="9">
        <f t="shared" si="68"/>
        <v>0</v>
      </c>
      <c r="AD886" s="9">
        <f t="shared" si="69"/>
        <v>0</v>
      </c>
    </row>
    <row r="887" spans="1:30" x14ac:dyDescent="0.4">
      <c r="A887"/>
      <c r="B887" s="9" t="str">
        <f t="shared" ca="1" si="65"/>
        <v/>
      </c>
      <c r="C887" t="str">
        <f t="shared" si="66"/>
        <v/>
      </c>
      <c r="T887" s="9">
        <f t="shared" si="67"/>
        <v>0</v>
      </c>
      <c r="Z887" s="9">
        <f t="shared" si="68"/>
        <v>0</v>
      </c>
      <c r="AD887" s="9">
        <f t="shared" si="69"/>
        <v>0</v>
      </c>
    </row>
    <row r="888" spans="1:30" x14ac:dyDescent="0.4">
      <c r="A888"/>
      <c r="B888" s="9" t="str">
        <f t="shared" ca="1" si="65"/>
        <v/>
      </c>
      <c r="C888" t="str">
        <f t="shared" si="66"/>
        <v/>
      </c>
      <c r="T888" s="9">
        <f t="shared" si="67"/>
        <v>0</v>
      </c>
      <c r="Z888" s="9">
        <f t="shared" si="68"/>
        <v>0</v>
      </c>
      <c r="AD888" s="9">
        <f t="shared" si="69"/>
        <v>0</v>
      </c>
    </row>
    <row r="889" spans="1:30" x14ac:dyDescent="0.4">
      <c r="A889"/>
      <c r="B889" s="9" t="str">
        <f t="shared" ca="1" si="65"/>
        <v/>
      </c>
      <c r="C889" t="str">
        <f t="shared" si="66"/>
        <v/>
      </c>
      <c r="T889" s="9">
        <f t="shared" si="67"/>
        <v>0</v>
      </c>
      <c r="Z889" s="9">
        <f t="shared" si="68"/>
        <v>0</v>
      </c>
      <c r="AD889" s="9">
        <f t="shared" si="69"/>
        <v>0</v>
      </c>
    </row>
    <row r="890" spans="1:30" x14ac:dyDescent="0.4">
      <c r="A890"/>
      <c r="B890" s="9" t="str">
        <f t="shared" ca="1" si="65"/>
        <v/>
      </c>
      <c r="C890" t="str">
        <f t="shared" si="66"/>
        <v/>
      </c>
      <c r="T890" s="9">
        <f t="shared" si="67"/>
        <v>0</v>
      </c>
      <c r="Z890" s="9">
        <f t="shared" si="68"/>
        <v>0</v>
      </c>
      <c r="AD890" s="9">
        <f t="shared" si="69"/>
        <v>0</v>
      </c>
    </row>
    <row r="891" spans="1:30" x14ac:dyDescent="0.4">
      <c r="A891"/>
      <c r="B891" s="9" t="str">
        <f t="shared" ca="1" si="65"/>
        <v/>
      </c>
      <c r="C891" t="str">
        <f t="shared" si="66"/>
        <v/>
      </c>
      <c r="T891" s="9">
        <f t="shared" si="67"/>
        <v>0</v>
      </c>
      <c r="Z891" s="9">
        <f t="shared" si="68"/>
        <v>0</v>
      </c>
      <c r="AD891" s="9">
        <f t="shared" si="69"/>
        <v>0</v>
      </c>
    </row>
    <row r="892" spans="1:30" x14ac:dyDescent="0.4">
      <c r="A892"/>
      <c r="B892" s="9" t="str">
        <f t="shared" ca="1" si="65"/>
        <v/>
      </c>
      <c r="C892" t="str">
        <f t="shared" si="66"/>
        <v/>
      </c>
      <c r="T892" s="9">
        <f t="shared" si="67"/>
        <v>0</v>
      </c>
      <c r="Z892" s="9">
        <f t="shared" si="68"/>
        <v>0</v>
      </c>
      <c r="AD892" s="9">
        <f t="shared" si="69"/>
        <v>0</v>
      </c>
    </row>
    <row r="893" spans="1:30" x14ac:dyDescent="0.4">
      <c r="A893"/>
      <c r="B893" s="9" t="str">
        <f t="shared" ca="1" si="65"/>
        <v/>
      </c>
      <c r="C893" t="str">
        <f t="shared" si="66"/>
        <v/>
      </c>
      <c r="T893" s="9">
        <f t="shared" si="67"/>
        <v>0</v>
      </c>
      <c r="Z893" s="9">
        <f t="shared" si="68"/>
        <v>0</v>
      </c>
      <c r="AD893" s="9">
        <f t="shared" si="69"/>
        <v>0</v>
      </c>
    </row>
    <row r="894" spans="1:30" x14ac:dyDescent="0.4">
      <c r="A894"/>
      <c r="B894" s="9" t="str">
        <f t="shared" ca="1" si="65"/>
        <v/>
      </c>
      <c r="C894" t="str">
        <f t="shared" si="66"/>
        <v/>
      </c>
      <c r="T894" s="9">
        <f t="shared" si="67"/>
        <v>0</v>
      </c>
      <c r="Z894" s="9">
        <f t="shared" si="68"/>
        <v>0</v>
      </c>
      <c r="AD894" s="9">
        <f t="shared" si="69"/>
        <v>0</v>
      </c>
    </row>
    <row r="895" spans="1:30" x14ac:dyDescent="0.4">
      <c r="A895"/>
      <c r="B895" s="9" t="str">
        <f t="shared" ca="1" si="65"/>
        <v/>
      </c>
      <c r="C895" t="str">
        <f t="shared" si="66"/>
        <v/>
      </c>
      <c r="T895" s="9">
        <f t="shared" si="67"/>
        <v>0</v>
      </c>
      <c r="Z895" s="9">
        <f t="shared" si="68"/>
        <v>0</v>
      </c>
      <c r="AD895" s="9">
        <f t="shared" si="69"/>
        <v>0</v>
      </c>
    </row>
    <row r="896" spans="1:30" x14ac:dyDescent="0.4">
      <c r="A896"/>
      <c r="B896" s="9" t="str">
        <f t="shared" ca="1" si="65"/>
        <v/>
      </c>
      <c r="C896" t="str">
        <f t="shared" si="66"/>
        <v/>
      </c>
      <c r="T896" s="9">
        <f t="shared" si="67"/>
        <v>0</v>
      </c>
      <c r="Z896" s="9">
        <f t="shared" si="68"/>
        <v>0</v>
      </c>
      <c r="AD896" s="9">
        <f t="shared" si="69"/>
        <v>0</v>
      </c>
    </row>
    <row r="897" spans="1:30" x14ac:dyDescent="0.4">
      <c r="A897"/>
      <c r="B897" s="9" t="str">
        <f t="shared" ca="1" si="65"/>
        <v/>
      </c>
      <c r="C897" t="str">
        <f t="shared" si="66"/>
        <v/>
      </c>
      <c r="T897" s="9">
        <f t="shared" si="67"/>
        <v>0</v>
      </c>
      <c r="Z897" s="9">
        <f t="shared" si="68"/>
        <v>0</v>
      </c>
      <c r="AD897" s="9">
        <f t="shared" si="69"/>
        <v>0</v>
      </c>
    </row>
    <row r="898" spans="1:30" x14ac:dyDescent="0.4">
      <c r="A898"/>
      <c r="B898" s="9" t="str">
        <f t="shared" ca="1" si="65"/>
        <v/>
      </c>
      <c r="C898" t="str">
        <f t="shared" si="66"/>
        <v/>
      </c>
      <c r="T898" s="9">
        <f t="shared" si="67"/>
        <v>0</v>
      </c>
      <c r="Z898" s="9">
        <f t="shared" si="68"/>
        <v>0</v>
      </c>
      <c r="AD898" s="9">
        <f t="shared" si="69"/>
        <v>0</v>
      </c>
    </row>
    <row r="899" spans="1:30" x14ac:dyDescent="0.4">
      <c r="A899"/>
      <c r="B899" s="9" t="str">
        <f t="shared" ref="B899:B962" ca="1" si="70">TEXT(IFERROR(LOOKUP(10^8,MID(A899,ROW(INDIRECT("1:"&amp;LEN(A899)-11)),8)+0),IF(A899="","",TRIM(RIGHT(SUBSTITUTE(LEFT(A899,LEN(A899)-4),"\",REPT(" ",50)),50)))),"00000000")</f>
        <v/>
      </c>
      <c r="C899" t="str">
        <f t="shared" ref="C899:C962" si="71">IF(A899="","",$J$1&amp;"\"&amp;A899)</f>
        <v/>
      </c>
      <c r="T899" s="9">
        <f t="shared" si="67"/>
        <v>0</v>
      </c>
      <c r="Z899" s="9">
        <f t="shared" si="68"/>
        <v>0</v>
      </c>
      <c r="AD899" s="9">
        <f t="shared" si="69"/>
        <v>0</v>
      </c>
    </row>
    <row r="900" spans="1:30" x14ac:dyDescent="0.4">
      <c r="A900"/>
      <c r="B900" s="9" t="str">
        <f t="shared" ca="1" si="70"/>
        <v/>
      </c>
      <c r="C900" t="str">
        <f t="shared" si="71"/>
        <v/>
      </c>
      <c r="T900" s="9">
        <f t="shared" si="67"/>
        <v>0</v>
      </c>
      <c r="Z900" s="9">
        <f t="shared" si="68"/>
        <v>0</v>
      </c>
      <c r="AD900" s="9">
        <f t="shared" si="69"/>
        <v>0</v>
      </c>
    </row>
    <row r="901" spans="1:30" x14ac:dyDescent="0.4">
      <c r="A901"/>
      <c r="B901" s="9" t="str">
        <f t="shared" ca="1" si="70"/>
        <v/>
      </c>
      <c r="C901" t="str">
        <f t="shared" si="71"/>
        <v/>
      </c>
      <c r="T901" s="9">
        <f t="shared" si="67"/>
        <v>0</v>
      </c>
      <c r="Z901" s="9">
        <f t="shared" si="68"/>
        <v>0</v>
      </c>
      <c r="AD901" s="9">
        <f t="shared" si="69"/>
        <v>0</v>
      </c>
    </row>
    <row r="902" spans="1:30" x14ac:dyDescent="0.4">
      <c r="A902"/>
      <c r="B902" s="9" t="str">
        <f t="shared" ca="1" si="70"/>
        <v/>
      </c>
      <c r="C902" t="str">
        <f t="shared" si="71"/>
        <v/>
      </c>
      <c r="T902" s="9">
        <f t="shared" si="67"/>
        <v>0</v>
      </c>
      <c r="Z902" s="9">
        <f t="shared" si="68"/>
        <v>0</v>
      </c>
      <c r="AD902" s="9">
        <f t="shared" si="69"/>
        <v>0</v>
      </c>
    </row>
    <row r="903" spans="1:30" x14ac:dyDescent="0.4">
      <c r="A903"/>
      <c r="B903" s="9" t="str">
        <f t="shared" ca="1" si="70"/>
        <v/>
      </c>
      <c r="C903" t="str">
        <f t="shared" si="71"/>
        <v/>
      </c>
      <c r="T903" s="9">
        <f t="shared" si="67"/>
        <v>0</v>
      </c>
      <c r="Z903" s="9">
        <f t="shared" si="68"/>
        <v>0</v>
      </c>
      <c r="AD903" s="9">
        <f t="shared" si="69"/>
        <v>0</v>
      </c>
    </row>
    <row r="904" spans="1:30" x14ac:dyDescent="0.4">
      <c r="A904"/>
      <c r="B904" s="9" t="str">
        <f t="shared" ca="1" si="70"/>
        <v/>
      </c>
      <c r="C904" t="str">
        <f t="shared" si="71"/>
        <v/>
      </c>
      <c r="T904" s="9">
        <f t="shared" ref="T904:T967" si="72">(COUNTIFS(TH_TK,N904,TH_DuNo,O904,TH_DuNoNT,P904,TH_DuCo,Q904,TH_DuCoNT,R904,TH_SoLuong,S904)&gt;0)*1</f>
        <v>0</v>
      </c>
      <c r="Z904" s="9">
        <f t="shared" ref="Z904:Z967" si="73">(COUNTIFS(NV,U904,TK,V904,TongNo,W904,TongCo,X904,SoLuong,Y904)&gt;0)*1</f>
        <v>0</v>
      </c>
      <c r="AD904" s="9">
        <f t="shared" ref="AD904:AD967" si="74">COUNTIFS(ReportType,AA904,ItemCode,AB904,Amount,AC904)</f>
        <v>0</v>
      </c>
    </row>
    <row r="905" spans="1:30" x14ac:dyDescent="0.4">
      <c r="A905"/>
      <c r="B905" s="9" t="str">
        <f t="shared" ca="1" si="70"/>
        <v/>
      </c>
      <c r="C905" t="str">
        <f t="shared" si="71"/>
        <v/>
      </c>
      <c r="T905" s="9">
        <f t="shared" si="72"/>
        <v>0</v>
      </c>
      <c r="Z905" s="9">
        <f t="shared" si="73"/>
        <v>0</v>
      </c>
      <c r="AD905" s="9">
        <f t="shared" si="74"/>
        <v>0</v>
      </c>
    </row>
    <row r="906" spans="1:30" x14ac:dyDescent="0.4">
      <c r="A906"/>
      <c r="B906" s="9" t="str">
        <f t="shared" ca="1" si="70"/>
        <v/>
      </c>
      <c r="C906" t="str">
        <f t="shared" si="71"/>
        <v/>
      </c>
      <c r="T906" s="9">
        <f t="shared" si="72"/>
        <v>0</v>
      </c>
      <c r="Z906" s="9">
        <f t="shared" si="73"/>
        <v>0</v>
      </c>
      <c r="AD906" s="9">
        <f t="shared" si="74"/>
        <v>0</v>
      </c>
    </row>
    <row r="907" spans="1:30" x14ac:dyDescent="0.4">
      <c r="A907"/>
      <c r="B907" s="9" t="str">
        <f t="shared" ca="1" si="70"/>
        <v/>
      </c>
      <c r="C907" t="str">
        <f t="shared" si="71"/>
        <v/>
      </c>
      <c r="T907" s="9">
        <f t="shared" si="72"/>
        <v>0</v>
      </c>
      <c r="Z907" s="9">
        <f t="shared" si="73"/>
        <v>0</v>
      </c>
      <c r="AD907" s="9">
        <f t="shared" si="74"/>
        <v>0</v>
      </c>
    </row>
    <row r="908" spans="1:30" x14ac:dyDescent="0.4">
      <c r="A908"/>
      <c r="B908" s="9" t="str">
        <f t="shared" ca="1" si="70"/>
        <v/>
      </c>
      <c r="C908" t="str">
        <f t="shared" si="71"/>
        <v/>
      </c>
      <c r="T908" s="9">
        <f t="shared" si="72"/>
        <v>0</v>
      </c>
      <c r="Z908" s="9">
        <f t="shared" si="73"/>
        <v>0</v>
      </c>
      <c r="AD908" s="9">
        <f t="shared" si="74"/>
        <v>0</v>
      </c>
    </row>
    <row r="909" spans="1:30" x14ac:dyDescent="0.4">
      <c r="A909"/>
      <c r="B909" s="9" t="str">
        <f t="shared" ca="1" si="70"/>
        <v/>
      </c>
      <c r="C909" t="str">
        <f t="shared" si="71"/>
        <v/>
      </c>
      <c r="T909" s="9">
        <f t="shared" si="72"/>
        <v>0</v>
      </c>
      <c r="Z909" s="9">
        <f t="shared" si="73"/>
        <v>0</v>
      </c>
      <c r="AD909" s="9">
        <f t="shared" si="74"/>
        <v>0</v>
      </c>
    </row>
    <row r="910" spans="1:30" x14ac:dyDescent="0.4">
      <c r="A910"/>
      <c r="B910" s="9" t="str">
        <f t="shared" ca="1" si="70"/>
        <v/>
      </c>
      <c r="C910" t="str">
        <f t="shared" si="71"/>
        <v/>
      </c>
      <c r="T910" s="9">
        <f t="shared" si="72"/>
        <v>0</v>
      </c>
      <c r="Z910" s="9">
        <f t="shared" si="73"/>
        <v>0</v>
      </c>
      <c r="AD910" s="9">
        <f t="shared" si="74"/>
        <v>0</v>
      </c>
    </row>
    <row r="911" spans="1:30" x14ac:dyDescent="0.4">
      <c r="A911"/>
      <c r="B911" s="9" t="str">
        <f t="shared" ca="1" si="70"/>
        <v/>
      </c>
      <c r="C911" t="str">
        <f t="shared" si="71"/>
        <v/>
      </c>
      <c r="T911" s="9">
        <f t="shared" si="72"/>
        <v>0</v>
      </c>
      <c r="Z911" s="9">
        <f t="shared" si="73"/>
        <v>0</v>
      </c>
      <c r="AD911" s="9">
        <f t="shared" si="74"/>
        <v>0</v>
      </c>
    </row>
    <row r="912" spans="1:30" x14ac:dyDescent="0.4">
      <c r="A912"/>
      <c r="B912" s="9" t="str">
        <f t="shared" ca="1" si="70"/>
        <v/>
      </c>
      <c r="C912" t="str">
        <f t="shared" si="71"/>
        <v/>
      </c>
      <c r="T912" s="9">
        <f t="shared" si="72"/>
        <v>0</v>
      </c>
      <c r="Z912" s="9">
        <f t="shared" si="73"/>
        <v>0</v>
      </c>
      <c r="AD912" s="9">
        <f t="shared" si="74"/>
        <v>0</v>
      </c>
    </row>
    <row r="913" spans="1:30" x14ac:dyDescent="0.4">
      <c r="A913"/>
      <c r="B913" s="9" t="str">
        <f t="shared" ca="1" si="70"/>
        <v/>
      </c>
      <c r="C913" t="str">
        <f t="shared" si="71"/>
        <v/>
      </c>
      <c r="T913" s="9">
        <f t="shared" si="72"/>
        <v>0</v>
      </c>
      <c r="Z913" s="9">
        <f t="shared" si="73"/>
        <v>0</v>
      </c>
      <c r="AD913" s="9">
        <f t="shared" si="74"/>
        <v>0</v>
      </c>
    </row>
    <row r="914" spans="1:30" x14ac:dyDescent="0.4">
      <c r="A914"/>
      <c r="B914" s="9" t="str">
        <f t="shared" ca="1" si="70"/>
        <v/>
      </c>
      <c r="C914" t="str">
        <f t="shared" si="71"/>
        <v/>
      </c>
      <c r="T914" s="9">
        <f t="shared" si="72"/>
        <v>0</v>
      </c>
      <c r="Z914" s="9">
        <f t="shared" si="73"/>
        <v>0</v>
      </c>
      <c r="AD914" s="9">
        <f t="shared" si="74"/>
        <v>0</v>
      </c>
    </row>
    <row r="915" spans="1:30" x14ac:dyDescent="0.4">
      <c r="A915"/>
      <c r="B915" s="9" t="str">
        <f t="shared" ca="1" si="70"/>
        <v/>
      </c>
      <c r="C915" t="str">
        <f t="shared" si="71"/>
        <v/>
      </c>
      <c r="T915" s="9">
        <f t="shared" si="72"/>
        <v>0</v>
      </c>
      <c r="Z915" s="9">
        <f t="shared" si="73"/>
        <v>0</v>
      </c>
      <c r="AD915" s="9">
        <f t="shared" si="74"/>
        <v>0</v>
      </c>
    </row>
    <row r="916" spans="1:30" x14ac:dyDescent="0.4">
      <c r="A916"/>
      <c r="B916" s="9" t="str">
        <f t="shared" ca="1" si="70"/>
        <v/>
      </c>
      <c r="C916" t="str">
        <f t="shared" si="71"/>
        <v/>
      </c>
      <c r="T916" s="9">
        <f t="shared" si="72"/>
        <v>0</v>
      </c>
      <c r="Z916" s="9">
        <f t="shared" si="73"/>
        <v>0</v>
      </c>
      <c r="AD916" s="9">
        <f t="shared" si="74"/>
        <v>0</v>
      </c>
    </row>
    <row r="917" spans="1:30" x14ac:dyDescent="0.4">
      <c r="A917"/>
      <c r="B917" s="9" t="str">
        <f t="shared" ca="1" si="70"/>
        <v/>
      </c>
      <c r="C917" t="str">
        <f t="shared" si="71"/>
        <v/>
      </c>
      <c r="T917" s="9">
        <f t="shared" si="72"/>
        <v>0</v>
      </c>
      <c r="Z917" s="9">
        <f t="shared" si="73"/>
        <v>0</v>
      </c>
      <c r="AD917" s="9">
        <f t="shared" si="74"/>
        <v>0</v>
      </c>
    </row>
    <row r="918" spans="1:30" x14ac:dyDescent="0.4">
      <c r="A918"/>
      <c r="B918" s="9" t="str">
        <f t="shared" ca="1" si="70"/>
        <v/>
      </c>
      <c r="C918" t="str">
        <f t="shared" si="71"/>
        <v/>
      </c>
      <c r="T918" s="9">
        <f t="shared" si="72"/>
        <v>0</v>
      </c>
      <c r="Z918" s="9">
        <f t="shared" si="73"/>
        <v>0</v>
      </c>
      <c r="AD918" s="9">
        <f t="shared" si="74"/>
        <v>0</v>
      </c>
    </row>
    <row r="919" spans="1:30" x14ac:dyDescent="0.4">
      <c r="A919"/>
      <c r="B919" s="9" t="str">
        <f t="shared" ca="1" si="70"/>
        <v/>
      </c>
      <c r="C919" t="str">
        <f t="shared" si="71"/>
        <v/>
      </c>
      <c r="T919" s="9">
        <f t="shared" si="72"/>
        <v>0</v>
      </c>
      <c r="Z919" s="9">
        <f t="shared" si="73"/>
        <v>0</v>
      </c>
      <c r="AD919" s="9">
        <f t="shared" si="74"/>
        <v>0</v>
      </c>
    </row>
    <row r="920" spans="1:30" x14ac:dyDescent="0.4">
      <c r="A920"/>
      <c r="B920" s="9" t="str">
        <f t="shared" ca="1" si="70"/>
        <v/>
      </c>
      <c r="C920" t="str">
        <f t="shared" si="71"/>
        <v/>
      </c>
      <c r="T920" s="9">
        <f t="shared" si="72"/>
        <v>0</v>
      </c>
      <c r="Z920" s="9">
        <f t="shared" si="73"/>
        <v>0</v>
      </c>
      <c r="AD920" s="9">
        <f t="shared" si="74"/>
        <v>0</v>
      </c>
    </row>
    <row r="921" spans="1:30" x14ac:dyDescent="0.4">
      <c r="A921"/>
      <c r="B921" s="9" t="str">
        <f t="shared" ca="1" si="70"/>
        <v/>
      </c>
      <c r="C921" t="str">
        <f t="shared" si="71"/>
        <v/>
      </c>
      <c r="T921" s="9">
        <f t="shared" si="72"/>
        <v>0</v>
      </c>
      <c r="Z921" s="9">
        <f t="shared" si="73"/>
        <v>0</v>
      </c>
      <c r="AD921" s="9">
        <f t="shared" si="74"/>
        <v>0</v>
      </c>
    </row>
    <row r="922" spans="1:30" x14ac:dyDescent="0.4">
      <c r="A922"/>
      <c r="B922" s="9" t="str">
        <f t="shared" ca="1" si="70"/>
        <v/>
      </c>
      <c r="C922" t="str">
        <f t="shared" si="71"/>
        <v/>
      </c>
      <c r="T922" s="9">
        <f t="shared" si="72"/>
        <v>0</v>
      </c>
      <c r="Z922" s="9">
        <f t="shared" si="73"/>
        <v>0</v>
      </c>
      <c r="AD922" s="9">
        <f t="shared" si="74"/>
        <v>0</v>
      </c>
    </row>
    <row r="923" spans="1:30" x14ac:dyDescent="0.4">
      <c r="A923"/>
      <c r="B923" s="9" t="str">
        <f t="shared" ca="1" si="70"/>
        <v/>
      </c>
      <c r="C923" t="str">
        <f t="shared" si="71"/>
        <v/>
      </c>
      <c r="T923" s="9">
        <f t="shared" si="72"/>
        <v>0</v>
      </c>
      <c r="Z923" s="9">
        <f t="shared" si="73"/>
        <v>0</v>
      </c>
      <c r="AD923" s="9">
        <f t="shared" si="74"/>
        <v>0</v>
      </c>
    </row>
    <row r="924" spans="1:30" x14ac:dyDescent="0.4">
      <c r="A924"/>
      <c r="B924" s="9" t="str">
        <f t="shared" ca="1" si="70"/>
        <v/>
      </c>
      <c r="C924" t="str">
        <f t="shared" si="71"/>
        <v/>
      </c>
      <c r="T924" s="9">
        <f t="shared" si="72"/>
        <v>0</v>
      </c>
      <c r="Z924" s="9">
        <f t="shared" si="73"/>
        <v>0</v>
      </c>
      <c r="AD924" s="9">
        <f t="shared" si="74"/>
        <v>0</v>
      </c>
    </row>
    <row r="925" spans="1:30" x14ac:dyDescent="0.4">
      <c r="A925"/>
      <c r="B925" s="9" t="str">
        <f t="shared" ca="1" si="70"/>
        <v/>
      </c>
      <c r="C925" t="str">
        <f t="shared" si="71"/>
        <v/>
      </c>
      <c r="T925" s="9">
        <f t="shared" si="72"/>
        <v>0</v>
      </c>
      <c r="Z925" s="9">
        <f t="shared" si="73"/>
        <v>0</v>
      </c>
      <c r="AD925" s="9">
        <f t="shared" si="74"/>
        <v>0</v>
      </c>
    </row>
    <row r="926" spans="1:30" x14ac:dyDescent="0.4">
      <c r="A926"/>
      <c r="B926" s="9" t="str">
        <f t="shared" ca="1" si="70"/>
        <v/>
      </c>
      <c r="C926" t="str">
        <f t="shared" si="71"/>
        <v/>
      </c>
      <c r="T926" s="9">
        <f t="shared" si="72"/>
        <v>0</v>
      </c>
      <c r="Z926" s="9">
        <f t="shared" si="73"/>
        <v>0</v>
      </c>
      <c r="AD926" s="9">
        <f t="shared" si="74"/>
        <v>0</v>
      </c>
    </row>
    <row r="927" spans="1:30" x14ac:dyDescent="0.4">
      <c r="A927"/>
      <c r="B927" s="9" t="str">
        <f t="shared" ca="1" si="70"/>
        <v/>
      </c>
      <c r="C927" t="str">
        <f t="shared" si="71"/>
        <v/>
      </c>
      <c r="T927" s="9">
        <f t="shared" si="72"/>
        <v>0</v>
      </c>
      <c r="Z927" s="9">
        <f t="shared" si="73"/>
        <v>0</v>
      </c>
      <c r="AD927" s="9">
        <f t="shared" si="74"/>
        <v>0</v>
      </c>
    </row>
    <row r="928" spans="1:30" x14ac:dyDescent="0.4">
      <c r="A928"/>
      <c r="B928" s="9" t="str">
        <f t="shared" ca="1" si="70"/>
        <v/>
      </c>
      <c r="C928" t="str">
        <f t="shared" si="71"/>
        <v/>
      </c>
      <c r="T928" s="9">
        <f t="shared" si="72"/>
        <v>0</v>
      </c>
      <c r="Z928" s="9">
        <f t="shared" si="73"/>
        <v>0</v>
      </c>
      <c r="AD928" s="9">
        <f t="shared" si="74"/>
        <v>0</v>
      </c>
    </row>
    <row r="929" spans="1:30" x14ac:dyDescent="0.4">
      <c r="A929"/>
      <c r="B929" s="9" t="str">
        <f t="shared" ca="1" si="70"/>
        <v/>
      </c>
      <c r="C929" t="str">
        <f t="shared" si="71"/>
        <v/>
      </c>
      <c r="T929" s="9">
        <f t="shared" si="72"/>
        <v>0</v>
      </c>
      <c r="Z929" s="9">
        <f t="shared" si="73"/>
        <v>0</v>
      </c>
      <c r="AD929" s="9">
        <f t="shared" si="74"/>
        <v>0</v>
      </c>
    </row>
    <row r="930" spans="1:30" x14ac:dyDescent="0.4">
      <c r="A930"/>
      <c r="B930" s="9" t="str">
        <f t="shared" ca="1" si="70"/>
        <v/>
      </c>
      <c r="C930" t="str">
        <f t="shared" si="71"/>
        <v/>
      </c>
      <c r="T930" s="9">
        <f t="shared" si="72"/>
        <v>0</v>
      </c>
      <c r="Z930" s="9">
        <f t="shared" si="73"/>
        <v>0</v>
      </c>
      <c r="AD930" s="9">
        <f t="shared" si="74"/>
        <v>0</v>
      </c>
    </row>
    <row r="931" spans="1:30" x14ac:dyDescent="0.4">
      <c r="A931"/>
      <c r="B931" s="9" t="str">
        <f t="shared" ca="1" si="70"/>
        <v/>
      </c>
      <c r="C931" t="str">
        <f t="shared" si="71"/>
        <v/>
      </c>
      <c r="T931" s="9">
        <f t="shared" si="72"/>
        <v>0</v>
      </c>
      <c r="Z931" s="9">
        <f t="shared" si="73"/>
        <v>0</v>
      </c>
      <c r="AD931" s="9">
        <f t="shared" si="74"/>
        <v>0</v>
      </c>
    </row>
    <row r="932" spans="1:30" x14ac:dyDescent="0.4">
      <c r="A932"/>
      <c r="B932" s="9" t="str">
        <f t="shared" ca="1" si="70"/>
        <v/>
      </c>
      <c r="C932" t="str">
        <f t="shared" si="71"/>
        <v/>
      </c>
      <c r="T932" s="9">
        <f t="shared" si="72"/>
        <v>0</v>
      </c>
      <c r="Z932" s="9">
        <f t="shared" si="73"/>
        <v>0</v>
      </c>
      <c r="AD932" s="9">
        <f t="shared" si="74"/>
        <v>0</v>
      </c>
    </row>
    <row r="933" spans="1:30" x14ac:dyDescent="0.4">
      <c r="A933"/>
      <c r="B933" s="9" t="str">
        <f t="shared" ca="1" si="70"/>
        <v/>
      </c>
      <c r="C933" t="str">
        <f t="shared" si="71"/>
        <v/>
      </c>
      <c r="T933" s="9">
        <f t="shared" si="72"/>
        <v>0</v>
      </c>
      <c r="Z933" s="9">
        <f t="shared" si="73"/>
        <v>0</v>
      </c>
      <c r="AD933" s="9">
        <f t="shared" si="74"/>
        <v>0</v>
      </c>
    </row>
    <row r="934" spans="1:30" x14ac:dyDescent="0.4">
      <c r="A934"/>
      <c r="B934" s="9" t="str">
        <f t="shared" ca="1" si="70"/>
        <v/>
      </c>
      <c r="C934" t="str">
        <f t="shared" si="71"/>
        <v/>
      </c>
      <c r="T934" s="9">
        <f t="shared" si="72"/>
        <v>0</v>
      </c>
      <c r="Z934" s="9">
        <f t="shared" si="73"/>
        <v>0</v>
      </c>
      <c r="AD934" s="9">
        <f t="shared" si="74"/>
        <v>0</v>
      </c>
    </row>
    <row r="935" spans="1:30" x14ac:dyDescent="0.4">
      <c r="A935"/>
      <c r="B935" s="9" t="str">
        <f t="shared" ca="1" si="70"/>
        <v/>
      </c>
      <c r="C935" t="str">
        <f t="shared" si="71"/>
        <v/>
      </c>
      <c r="T935" s="9">
        <f t="shared" si="72"/>
        <v>0</v>
      </c>
      <c r="Z935" s="9">
        <f t="shared" si="73"/>
        <v>0</v>
      </c>
      <c r="AD935" s="9">
        <f t="shared" si="74"/>
        <v>0</v>
      </c>
    </row>
    <row r="936" spans="1:30" x14ac:dyDescent="0.4">
      <c r="A936"/>
      <c r="B936" s="9" t="str">
        <f t="shared" ca="1" si="70"/>
        <v/>
      </c>
      <c r="C936" t="str">
        <f t="shared" si="71"/>
        <v/>
      </c>
      <c r="T936" s="9">
        <f t="shared" si="72"/>
        <v>0</v>
      </c>
      <c r="Z936" s="9">
        <f t="shared" si="73"/>
        <v>0</v>
      </c>
      <c r="AD936" s="9">
        <f t="shared" si="74"/>
        <v>0</v>
      </c>
    </row>
    <row r="937" spans="1:30" x14ac:dyDescent="0.4">
      <c r="A937"/>
      <c r="B937" s="9" t="str">
        <f t="shared" ca="1" si="70"/>
        <v/>
      </c>
      <c r="C937" t="str">
        <f t="shared" si="71"/>
        <v/>
      </c>
      <c r="T937" s="9">
        <f t="shared" si="72"/>
        <v>0</v>
      </c>
      <c r="Z937" s="9">
        <f t="shared" si="73"/>
        <v>0</v>
      </c>
      <c r="AD937" s="9">
        <f t="shared" si="74"/>
        <v>0</v>
      </c>
    </row>
    <row r="938" spans="1:30" x14ac:dyDescent="0.4">
      <c r="A938"/>
      <c r="B938" s="9" t="str">
        <f t="shared" ca="1" si="70"/>
        <v/>
      </c>
      <c r="C938" t="str">
        <f t="shared" si="71"/>
        <v/>
      </c>
      <c r="T938" s="9">
        <f t="shared" si="72"/>
        <v>0</v>
      </c>
      <c r="Z938" s="9">
        <f t="shared" si="73"/>
        <v>0</v>
      </c>
      <c r="AD938" s="9">
        <f t="shared" si="74"/>
        <v>0</v>
      </c>
    </row>
    <row r="939" spans="1:30" x14ac:dyDescent="0.4">
      <c r="A939"/>
      <c r="B939" s="9" t="str">
        <f t="shared" ca="1" si="70"/>
        <v/>
      </c>
      <c r="C939" t="str">
        <f t="shared" si="71"/>
        <v/>
      </c>
      <c r="T939" s="9">
        <f t="shared" si="72"/>
        <v>0</v>
      </c>
      <c r="Z939" s="9">
        <f t="shared" si="73"/>
        <v>0</v>
      </c>
      <c r="AD939" s="9">
        <f t="shared" si="74"/>
        <v>0</v>
      </c>
    </row>
    <row r="940" spans="1:30" x14ac:dyDescent="0.4">
      <c r="A940"/>
      <c r="B940" s="9" t="str">
        <f t="shared" ca="1" si="70"/>
        <v/>
      </c>
      <c r="C940" t="str">
        <f t="shared" si="71"/>
        <v/>
      </c>
      <c r="T940" s="9">
        <f t="shared" si="72"/>
        <v>0</v>
      </c>
      <c r="Z940" s="9">
        <f t="shared" si="73"/>
        <v>0</v>
      </c>
      <c r="AD940" s="9">
        <f t="shared" si="74"/>
        <v>0</v>
      </c>
    </row>
    <row r="941" spans="1:30" x14ac:dyDescent="0.4">
      <c r="A941"/>
      <c r="B941" s="9" t="str">
        <f t="shared" ca="1" si="70"/>
        <v/>
      </c>
      <c r="C941" t="str">
        <f t="shared" si="71"/>
        <v/>
      </c>
      <c r="T941" s="9">
        <f t="shared" si="72"/>
        <v>0</v>
      </c>
      <c r="Z941" s="9">
        <f t="shared" si="73"/>
        <v>0</v>
      </c>
      <c r="AD941" s="9">
        <f t="shared" si="74"/>
        <v>0</v>
      </c>
    </row>
    <row r="942" spans="1:30" x14ac:dyDescent="0.4">
      <c r="A942"/>
      <c r="B942" s="9" t="str">
        <f t="shared" ca="1" si="70"/>
        <v/>
      </c>
      <c r="C942" t="str">
        <f t="shared" si="71"/>
        <v/>
      </c>
      <c r="T942" s="9">
        <f t="shared" si="72"/>
        <v>0</v>
      </c>
      <c r="Z942" s="9">
        <f t="shared" si="73"/>
        <v>0</v>
      </c>
      <c r="AD942" s="9">
        <f t="shared" si="74"/>
        <v>0</v>
      </c>
    </row>
    <row r="943" spans="1:30" x14ac:dyDescent="0.4">
      <c r="A943"/>
      <c r="B943" s="9" t="str">
        <f t="shared" ca="1" si="70"/>
        <v/>
      </c>
      <c r="C943" t="str">
        <f t="shared" si="71"/>
        <v/>
      </c>
      <c r="T943" s="9">
        <f t="shared" si="72"/>
        <v>0</v>
      </c>
      <c r="Z943" s="9">
        <f t="shared" si="73"/>
        <v>0</v>
      </c>
      <c r="AD943" s="9">
        <f t="shared" si="74"/>
        <v>0</v>
      </c>
    </row>
    <row r="944" spans="1:30" x14ac:dyDescent="0.4">
      <c r="A944"/>
      <c r="B944" s="9" t="str">
        <f t="shared" ca="1" si="70"/>
        <v/>
      </c>
      <c r="C944" t="str">
        <f t="shared" si="71"/>
        <v/>
      </c>
      <c r="T944" s="9">
        <f t="shared" si="72"/>
        <v>0</v>
      </c>
      <c r="Z944" s="9">
        <f t="shared" si="73"/>
        <v>0</v>
      </c>
      <c r="AD944" s="9">
        <f t="shared" si="74"/>
        <v>0</v>
      </c>
    </row>
    <row r="945" spans="1:30" x14ac:dyDescent="0.4">
      <c r="A945"/>
      <c r="B945" s="9" t="str">
        <f t="shared" ca="1" si="70"/>
        <v/>
      </c>
      <c r="C945" t="str">
        <f t="shared" si="71"/>
        <v/>
      </c>
      <c r="T945" s="9">
        <f t="shared" si="72"/>
        <v>0</v>
      </c>
      <c r="Z945" s="9">
        <f t="shared" si="73"/>
        <v>0</v>
      </c>
      <c r="AD945" s="9">
        <f t="shared" si="74"/>
        <v>0</v>
      </c>
    </row>
    <row r="946" spans="1:30" x14ac:dyDescent="0.4">
      <c r="A946"/>
      <c r="B946" s="9" t="str">
        <f t="shared" ca="1" si="70"/>
        <v/>
      </c>
      <c r="C946" t="str">
        <f t="shared" si="71"/>
        <v/>
      </c>
      <c r="T946" s="9">
        <f t="shared" si="72"/>
        <v>0</v>
      </c>
      <c r="Z946" s="9">
        <f t="shared" si="73"/>
        <v>0</v>
      </c>
      <c r="AD946" s="9">
        <f t="shared" si="74"/>
        <v>0</v>
      </c>
    </row>
    <row r="947" spans="1:30" x14ac:dyDescent="0.4">
      <c r="A947"/>
      <c r="B947" s="9" t="str">
        <f t="shared" ca="1" si="70"/>
        <v/>
      </c>
      <c r="C947" t="str">
        <f t="shared" si="71"/>
        <v/>
      </c>
      <c r="T947" s="9">
        <f t="shared" si="72"/>
        <v>0</v>
      </c>
      <c r="Z947" s="9">
        <f t="shared" si="73"/>
        <v>0</v>
      </c>
      <c r="AD947" s="9">
        <f t="shared" si="74"/>
        <v>0</v>
      </c>
    </row>
    <row r="948" spans="1:30" x14ac:dyDescent="0.4">
      <c r="A948"/>
      <c r="B948" s="9" t="str">
        <f t="shared" ca="1" si="70"/>
        <v/>
      </c>
      <c r="C948" t="str">
        <f t="shared" si="71"/>
        <v/>
      </c>
      <c r="T948" s="9">
        <f t="shared" si="72"/>
        <v>0</v>
      </c>
      <c r="Z948" s="9">
        <f t="shared" si="73"/>
        <v>0</v>
      </c>
      <c r="AD948" s="9">
        <f t="shared" si="74"/>
        <v>0</v>
      </c>
    </row>
    <row r="949" spans="1:30" x14ac:dyDescent="0.4">
      <c r="A949"/>
      <c r="B949" s="9" t="str">
        <f t="shared" ca="1" si="70"/>
        <v/>
      </c>
      <c r="C949" t="str">
        <f t="shared" si="71"/>
        <v/>
      </c>
      <c r="T949" s="9">
        <f t="shared" si="72"/>
        <v>0</v>
      </c>
      <c r="Z949" s="9">
        <f t="shared" si="73"/>
        <v>0</v>
      </c>
      <c r="AD949" s="9">
        <f t="shared" si="74"/>
        <v>0</v>
      </c>
    </row>
    <row r="950" spans="1:30" x14ac:dyDescent="0.4">
      <c r="A950"/>
      <c r="B950" s="9" t="str">
        <f t="shared" ca="1" si="70"/>
        <v/>
      </c>
      <c r="C950" t="str">
        <f t="shared" si="71"/>
        <v/>
      </c>
      <c r="T950" s="9">
        <f t="shared" si="72"/>
        <v>0</v>
      </c>
      <c r="Z950" s="9">
        <f t="shared" si="73"/>
        <v>0</v>
      </c>
      <c r="AD950" s="9">
        <f t="shared" si="74"/>
        <v>0</v>
      </c>
    </row>
    <row r="951" spans="1:30" x14ac:dyDescent="0.4">
      <c r="A951"/>
      <c r="B951" s="9" t="str">
        <f t="shared" ca="1" si="70"/>
        <v/>
      </c>
      <c r="C951" t="str">
        <f t="shared" si="71"/>
        <v/>
      </c>
      <c r="T951" s="9">
        <f t="shared" si="72"/>
        <v>0</v>
      </c>
      <c r="Z951" s="9">
        <f t="shared" si="73"/>
        <v>0</v>
      </c>
      <c r="AD951" s="9">
        <f t="shared" si="74"/>
        <v>0</v>
      </c>
    </row>
    <row r="952" spans="1:30" x14ac:dyDescent="0.4">
      <c r="A952"/>
      <c r="B952" s="9" t="str">
        <f t="shared" ca="1" si="70"/>
        <v/>
      </c>
      <c r="C952" t="str">
        <f t="shared" si="71"/>
        <v/>
      </c>
      <c r="T952" s="9">
        <f t="shared" si="72"/>
        <v>0</v>
      </c>
      <c r="Z952" s="9">
        <f t="shared" si="73"/>
        <v>0</v>
      </c>
      <c r="AD952" s="9">
        <f t="shared" si="74"/>
        <v>0</v>
      </c>
    </row>
    <row r="953" spans="1:30" x14ac:dyDescent="0.4">
      <c r="A953"/>
      <c r="B953" s="9" t="str">
        <f t="shared" ca="1" si="70"/>
        <v/>
      </c>
      <c r="C953" t="str">
        <f t="shared" si="71"/>
        <v/>
      </c>
      <c r="T953" s="9">
        <f t="shared" si="72"/>
        <v>0</v>
      </c>
      <c r="Z953" s="9">
        <f t="shared" si="73"/>
        <v>0</v>
      </c>
      <c r="AD953" s="9">
        <f t="shared" si="74"/>
        <v>0</v>
      </c>
    </row>
    <row r="954" spans="1:30" x14ac:dyDescent="0.4">
      <c r="A954"/>
      <c r="B954" s="9" t="str">
        <f t="shared" ca="1" si="70"/>
        <v/>
      </c>
      <c r="C954" t="str">
        <f t="shared" si="71"/>
        <v/>
      </c>
      <c r="T954" s="9">
        <f t="shared" si="72"/>
        <v>0</v>
      </c>
      <c r="Z954" s="9">
        <f t="shared" si="73"/>
        <v>0</v>
      </c>
      <c r="AD954" s="9">
        <f t="shared" si="74"/>
        <v>0</v>
      </c>
    </row>
    <row r="955" spans="1:30" x14ac:dyDescent="0.4">
      <c r="A955"/>
      <c r="B955" s="9" t="str">
        <f t="shared" ca="1" si="70"/>
        <v/>
      </c>
      <c r="C955" t="str">
        <f t="shared" si="71"/>
        <v/>
      </c>
      <c r="T955" s="9">
        <f t="shared" si="72"/>
        <v>0</v>
      </c>
      <c r="Z955" s="9">
        <f t="shared" si="73"/>
        <v>0</v>
      </c>
      <c r="AD955" s="9">
        <f t="shared" si="74"/>
        <v>0</v>
      </c>
    </row>
    <row r="956" spans="1:30" x14ac:dyDescent="0.4">
      <c r="A956"/>
      <c r="B956" s="9" t="str">
        <f t="shared" ca="1" si="70"/>
        <v/>
      </c>
      <c r="C956" t="str">
        <f t="shared" si="71"/>
        <v/>
      </c>
      <c r="T956" s="9">
        <f t="shared" si="72"/>
        <v>0</v>
      </c>
      <c r="Z956" s="9">
        <f t="shared" si="73"/>
        <v>0</v>
      </c>
      <c r="AD956" s="9">
        <f t="shared" si="74"/>
        <v>0</v>
      </c>
    </row>
    <row r="957" spans="1:30" x14ac:dyDescent="0.4">
      <c r="A957"/>
      <c r="B957" s="9" t="str">
        <f t="shared" ca="1" si="70"/>
        <v/>
      </c>
      <c r="C957" t="str">
        <f t="shared" si="71"/>
        <v/>
      </c>
      <c r="T957" s="9">
        <f t="shared" si="72"/>
        <v>0</v>
      </c>
      <c r="Z957" s="9">
        <f t="shared" si="73"/>
        <v>0</v>
      </c>
      <c r="AD957" s="9">
        <f t="shared" si="74"/>
        <v>0</v>
      </c>
    </row>
    <row r="958" spans="1:30" x14ac:dyDescent="0.4">
      <c r="A958"/>
      <c r="B958" s="9" t="str">
        <f t="shared" ca="1" si="70"/>
        <v/>
      </c>
      <c r="C958" t="str">
        <f t="shared" si="71"/>
        <v/>
      </c>
      <c r="T958" s="9">
        <f t="shared" si="72"/>
        <v>0</v>
      </c>
      <c r="Z958" s="9">
        <f t="shared" si="73"/>
        <v>0</v>
      </c>
      <c r="AD958" s="9">
        <f t="shared" si="74"/>
        <v>0</v>
      </c>
    </row>
    <row r="959" spans="1:30" x14ac:dyDescent="0.4">
      <c r="A959"/>
      <c r="B959" s="9" t="str">
        <f t="shared" ca="1" si="70"/>
        <v/>
      </c>
      <c r="C959" t="str">
        <f t="shared" si="71"/>
        <v/>
      </c>
      <c r="T959" s="9">
        <f t="shared" si="72"/>
        <v>0</v>
      </c>
      <c r="Z959" s="9">
        <f t="shared" si="73"/>
        <v>0</v>
      </c>
      <c r="AD959" s="9">
        <f t="shared" si="74"/>
        <v>0</v>
      </c>
    </row>
    <row r="960" spans="1:30" x14ac:dyDescent="0.4">
      <c r="A960"/>
      <c r="B960" s="9" t="str">
        <f t="shared" ca="1" si="70"/>
        <v/>
      </c>
      <c r="C960" t="str">
        <f t="shared" si="71"/>
        <v/>
      </c>
      <c r="T960" s="9">
        <f t="shared" si="72"/>
        <v>0</v>
      </c>
      <c r="Z960" s="9">
        <f t="shared" si="73"/>
        <v>0</v>
      </c>
      <c r="AD960" s="9">
        <f t="shared" si="74"/>
        <v>0</v>
      </c>
    </row>
    <row r="961" spans="1:30" x14ac:dyDescent="0.4">
      <c r="A961"/>
      <c r="B961" s="9" t="str">
        <f t="shared" ca="1" si="70"/>
        <v/>
      </c>
      <c r="C961" t="str">
        <f t="shared" si="71"/>
        <v/>
      </c>
      <c r="T961" s="9">
        <f t="shared" si="72"/>
        <v>0</v>
      </c>
      <c r="Z961" s="9">
        <f t="shared" si="73"/>
        <v>0</v>
      </c>
      <c r="AD961" s="9">
        <f t="shared" si="74"/>
        <v>0</v>
      </c>
    </row>
    <row r="962" spans="1:30" x14ac:dyDescent="0.4">
      <c r="A962"/>
      <c r="B962" s="9" t="str">
        <f t="shared" ca="1" si="70"/>
        <v/>
      </c>
      <c r="C962" t="str">
        <f t="shared" si="71"/>
        <v/>
      </c>
      <c r="T962" s="9">
        <f t="shared" si="72"/>
        <v>0</v>
      </c>
      <c r="Z962" s="9">
        <f t="shared" si="73"/>
        <v>0</v>
      </c>
      <c r="AD962" s="9">
        <f t="shared" si="74"/>
        <v>0</v>
      </c>
    </row>
    <row r="963" spans="1:30" x14ac:dyDescent="0.4">
      <c r="A963"/>
      <c r="B963" s="9" t="str">
        <f t="shared" ref="B963:B1000" ca="1" si="75">TEXT(IFERROR(LOOKUP(10^8,MID(A963,ROW(INDIRECT("1:"&amp;LEN(A963)-11)),8)+0),IF(A963="","",TRIM(RIGHT(SUBSTITUTE(LEFT(A963,LEN(A963)-4),"\",REPT(" ",50)),50)))),"00000000")</f>
        <v/>
      </c>
      <c r="C963" t="str">
        <f t="shared" ref="C963:C1026" si="76">IF(A963="","",$J$1&amp;"\"&amp;A963)</f>
        <v/>
      </c>
      <c r="T963" s="9">
        <f t="shared" si="72"/>
        <v>0</v>
      </c>
      <c r="Z963" s="9">
        <f t="shared" si="73"/>
        <v>0</v>
      </c>
      <c r="AD963" s="9">
        <f t="shared" si="74"/>
        <v>0</v>
      </c>
    </row>
    <row r="964" spans="1:30" x14ac:dyDescent="0.4">
      <c r="A964"/>
      <c r="B964" s="9" t="str">
        <f t="shared" ca="1" si="75"/>
        <v/>
      </c>
      <c r="C964" t="str">
        <f t="shared" si="76"/>
        <v/>
      </c>
      <c r="T964" s="9">
        <f t="shared" si="72"/>
        <v>0</v>
      </c>
      <c r="Z964" s="9">
        <f t="shared" si="73"/>
        <v>0</v>
      </c>
      <c r="AD964" s="9">
        <f t="shared" si="74"/>
        <v>0</v>
      </c>
    </row>
    <row r="965" spans="1:30" x14ac:dyDescent="0.4">
      <c r="A965"/>
      <c r="B965" s="9" t="str">
        <f t="shared" ca="1" si="75"/>
        <v/>
      </c>
      <c r="C965" t="str">
        <f t="shared" si="76"/>
        <v/>
      </c>
      <c r="T965" s="9">
        <f t="shared" si="72"/>
        <v>0</v>
      </c>
      <c r="Z965" s="9">
        <f t="shared" si="73"/>
        <v>0</v>
      </c>
      <c r="AD965" s="9">
        <f t="shared" si="74"/>
        <v>0</v>
      </c>
    </row>
    <row r="966" spans="1:30" x14ac:dyDescent="0.4">
      <c r="A966"/>
      <c r="B966" s="9" t="str">
        <f t="shared" ca="1" si="75"/>
        <v/>
      </c>
      <c r="C966" t="str">
        <f t="shared" si="76"/>
        <v/>
      </c>
      <c r="T966" s="9">
        <f t="shared" si="72"/>
        <v>0</v>
      </c>
      <c r="Z966" s="9">
        <f t="shared" si="73"/>
        <v>0</v>
      </c>
      <c r="AD966" s="9">
        <f t="shared" si="74"/>
        <v>0</v>
      </c>
    </row>
    <row r="967" spans="1:30" x14ac:dyDescent="0.4">
      <c r="A967"/>
      <c r="B967" s="9" t="str">
        <f t="shared" ca="1" si="75"/>
        <v/>
      </c>
      <c r="C967" t="str">
        <f t="shared" si="76"/>
        <v/>
      </c>
      <c r="T967" s="9">
        <f t="shared" si="72"/>
        <v>0</v>
      </c>
      <c r="Z967" s="9">
        <f t="shared" si="73"/>
        <v>0</v>
      </c>
      <c r="AD967" s="9">
        <f t="shared" si="74"/>
        <v>0</v>
      </c>
    </row>
    <row r="968" spans="1:30" x14ac:dyDescent="0.4">
      <c r="A968"/>
      <c r="B968" s="9" t="str">
        <f t="shared" ca="1" si="75"/>
        <v/>
      </c>
      <c r="C968" t="str">
        <f t="shared" si="76"/>
        <v/>
      </c>
      <c r="T968" s="9">
        <f t="shared" ref="T968:T1031" si="77">(COUNTIFS(TH_TK,N968,TH_DuNo,O968,TH_DuNoNT,P968,TH_DuCo,Q968,TH_DuCoNT,R968,TH_SoLuong,S968)&gt;0)*1</f>
        <v>0</v>
      </c>
      <c r="Z968" s="9">
        <f t="shared" ref="Z968:Z1031" si="78">(COUNTIFS(NV,U968,TK,V968,TongNo,W968,TongCo,X968,SoLuong,Y968)&gt;0)*1</f>
        <v>0</v>
      </c>
      <c r="AD968" s="9">
        <f t="shared" ref="AD968:AD1031" si="79">COUNTIFS(ReportType,AA968,ItemCode,AB968,Amount,AC968)</f>
        <v>0</v>
      </c>
    </row>
    <row r="969" spans="1:30" x14ac:dyDescent="0.4">
      <c r="A969"/>
      <c r="B969" s="9" t="str">
        <f t="shared" ca="1" si="75"/>
        <v/>
      </c>
      <c r="C969" t="str">
        <f t="shared" si="76"/>
        <v/>
      </c>
      <c r="T969" s="9">
        <f t="shared" si="77"/>
        <v>0</v>
      </c>
      <c r="Z969" s="9">
        <f t="shared" si="78"/>
        <v>0</v>
      </c>
      <c r="AD969" s="9">
        <f t="shared" si="79"/>
        <v>0</v>
      </c>
    </row>
    <row r="970" spans="1:30" x14ac:dyDescent="0.4">
      <c r="A970"/>
      <c r="B970" s="9" t="str">
        <f t="shared" ca="1" si="75"/>
        <v/>
      </c>
      <c r="C970" t="str">
        <f t="shared" si="76"/>
        <v/>
      </c>
      <c r="T970" s="9">
        <f t="shared" si="77"/>
        <v>0</v>
      </c>
      <c r="Z970" s="9">
        <f t="shared" si="78"/>
        <v>0</v>
      </c>
      <c r="AD970" s="9">
        <f t="shared" si="79"/>
        <v>0</v>
      </c>
    </row>
    <row r="971" spans="1:30" x14ac:dyDescent="0.4">
      <c r="A971"/>
      <c r="B971" s="9" t="str">
        <f t="shared" ca="1" si="75"/>
        <v/>
      </c>
      <c r="C971" t="str">
        <f t="shared" si="76"/>
        <v/>
      </c>
      <c r="T971" s="9">
        <f t="shared" si="77"/>
        <v>0</v>
      </c>
      <c r="Z971" s="9">
        <f t="shared" si="78"/>
        <v>0</v>
      </c>
      <c r="AD971" s="9">
        <f t="shared" si="79"/>
        <v>0</v>
      </c>
    </row>
    <row r="972" spans="1:30" x14ac:dyDescent="0.4">
      <c r="A972"/>
      <c r="B972" s="9" t="str">
        <f t="shared" ca="1" si="75"/>
        <v/>
      </c>
      <c r="C972" t="str">
        <f t="shared" si="76"/>
        <v/>
      </c>
      <c r="T972" s="9">
        <f t="shared" si="77"/>
        <v>0</v>
      </c>
      <c r="Z972" s="9">
        <f t="shared" si="78"/>
        <v>0</v>
      </c>
      <c r="AD972" s="9">
        <f t="shared" si="79"/>
        <v>0</v>
      </c>
    </row>
    <row r="973" spans="1:30" x14ac:dyDescent="0.4">
      <c r="A973"/>
      <c r="B973" s="9" t="str">
        <f t="shared" ca="1" si="75"/>
        <v/>
      </c>
      <c r="C973" t="str">
        <f t="shared" si="76"/>
        <v/>
      </c>
      <c r="T973" s="9">
        <f t="shared" si="77"/>
        <v>0</v>
      </c>
      <c r="Z973" s="9">
        <f t="shared" si="78"/>
        <v>0</v>
      </c>
      <c r="AD973" s="9">
        <f t="shared" si="79"/>
        <v>0</v>
      </c>
    </row>
    <row r="974" spans="1:30" x14ac:dyDescent="0.4">
      <c r="A974"/>
      <c r="B974" s="9" t="str">
        <f t="shared" ca="1" si="75"/>
        <v/>
      </c>
      <c r="C974" t="str">
        <f t="shared" si="76"/>
        <v/>
      </c>
      <c r="T974" s="9">
        <f t="shared" si="77"/>
        <v>0</v>
      </c>
      <c r="Z974" s="9">
        <f t="shared" si="78"/>
        <v>0</v>
      </c>
      <c r="AD974" s="9">
        <f t="shared" si="79"/>
        <v>0</v>
      </c>
    </row>
    <row r="975" spans="1:30" x14ac:dyDescent="0.4">
      <c r="A975"/>
      <c r="B975" s="9" t="str">
        <f t="shared" ca="1" si="75"/>
        <v/>
      </c>
      <c r="C975" t="str">
        <f t="shared" si="76"/>
        <v/>
      </c>
      <c r="T975" s="9">
        <f t="shared" si="77"/>
        <v>0</v>
      </c>
      <c r="Z975" s="9">
        <f t="shared" si="78"/>
        <v>0</v>
      </c>
      <c r="AD975" s="9">
        <f t="shared" si="79"/>
        <v>0</v>
      </c>
    </row>
    <row r="976" spans="1:30" x14ac:dyDescent="0.4">
      <c r="A976"/>
      <c r="B976" s="9" t="str">
        <f t="shared" ca="1" si="75"/>
        <v/>
      </c>
      <c r="C976" t="str">
        <f t="shared" si="76"/>
        <v/>
      </c>
      <c r="T976" s="9">
        <f t="shared" si="77"/>
        <v>0</v>
      </c>
      <c r="Z976" s="9">
        <f t="shared" si="78"/>
        <v>0</v>
      </c>
      <c r="AD976" s="9">
        <f t="shared" si="79"/>
        <v>0</v>
      </c>
    </row>
    <row r="977" spans="1:30" x14ac:dyDescent="0.4">
      <c r="A977"/>
      <c r="B977" s="9" t="str">
        <f t="shared" ca="1" si="75"/>
        <v/>
      </c>
      <c r="C977" t="str">
        <f t="shared" si="76"/>
        <v/>
      </c>
      <c r="T977" s="9">
        <f t="shared" si="77"/>
        <v>0</v>
      </c>
      <c r="Z977" s="9">
        <f t="shared" si="78"/>
        <v>0</v>
      </c>
      <c r="AD977" s="9">
        <f t="shared" si="79"/>
        <v>0</v>
      </c>
    </row>
    <row r="978" spans="1:30" x14ac:dyDescent="0.4">
      <c r="A978"/>
      <c r="B978" s="9" t="str">
        <f t="shared" ca="1" si="75"/>
        <v/>
      </c>
      <c r="C978" t="str">
        <f t="shared" si="76"/>
        <v/>
      </c>
      <c r="T978" s="9">
        <f t="shared" si="77"/>
        <v>0</v>
      </c>
      <c r="Z978" s="9">
        <f t="shared" si="78"/>
        <v>0</v>
      </c>
      <c r="AD978" s="9">
        <f t="shared" si="79"/>
        <v>0</v>
      </c>
    </row>
    <row r="979" spans="1:30" x14ac:dyDescent="0.4">
      <c r="A979"/>
      <c r="B979" s="9" t="str">
        <f t="shared" ca="1" si="75"/>
        <v/>
      </c>
      <c r="C979" t="str">
        <f t="shared" si="76"/>
        <v/>
      </c>
      <c r="T979" s="9">
        <f t="shared" si="77"/>
        <v>0</v>
      </c>
      <c r="Z979" s="9">
        <f t="shared" si="78"/>
        <v>0</v>
      </c>
      <c r="AD979" s="9">
        <f t="shared" si="79"/>
        <v>0</v>
      </c>
    </row>
    <row r="980" spans="1:30" x14ac:dyDescent="0.4">
      <c r="A980"/>
      <c r="B980" s="9" t="str">
        <f t="shared" ca="1" si="75"/>
        <v/>
      </c>
      <c r="C980" t="str">
        <f t="shared" si="76"/>
        <v/>
      </c>
      <c r="T980" s="9">
        <f t="shared" si="77"/>
        <v>0</v>
      </c>
      <c r="Z980" s="9">
        <f t="shared" si="78"/>
        <v>0</v>
      </c>
      <c r="AD980" s="9">
        <f t="shared" si="79"/>
        <v>0</v>
      </c>
    </row>
    <row r="981" spans="1:30" x14ac:dyDescent="0.4">
      <c r="A981"/>
      <c r="B981" s="9" t="str">
        <f t="shared" ca="1" si="75"/>
        <v/>
      </c>
      <c r="C981" t="str">
        <f t="shared" si="76"/>
        <v/>
      </c>
      <c r="T981" s="9">
        <f t="shared" si="77"/>
        <v>0</v>
      </c>
      <c r="Z981" s="9">
        <f t="shared" si="78"/>
        <v>0</v>
      </c>
      <c r="AD981" s="9">
        <f t="shared" si="79"/>
        <v>0</v>
      </c>
    </row>
    <row r="982" spans="1:30" x14ac:dyDescent="0.4">
      <c r="A982"/>
      <c r="B982" s="9" t="str">
        <f t="shared" ca="1" si="75"/>
        <v/>
      </c>
      <c r="C982" t="str">
        <f t="shared" si="76"/>
        <v/>
      </c>
      <c r="T982" s="9">
        <f t="shared" si="77"/>
        <v>0</v>
      </c>
      <c r="Z982" s="9">
        <f t="shared" si="78"/>
        <v>0</v>
      </c>
      <c r="AD982" s="9">
        <f t="shared" si="79"/>
        <v>0</v>
      </c>
    </row>
    <row r="983" spans="1:30" x14ac:dyDescent="0.4">
      <c r="A983"/>
      <c r="B983" s="9" t="str">
        <f t="shared" ca="1" si="75"/>
        <v/>
      </c>
      <c r="C983" t="str">
        <f t="shared" si="76"/>
        <v/>
      </c>
      <c r="T983" s="9">
        <f t="shared" si="77"/>
        <v>0</v>
      </c>
      <c r="Z983" s="9">
        <f t="shared" si="78"/>
        <v>0</v>
      </c>
      <c r="AD983" s="9">
        <f t="shared" si="79"/>
        <v>0</v>
      </c>
    </row>
    <row r="984" spans="1:30" x14ac:dyDescent="0.4">
      <c r="A984"/>
      <c r="B984" s="9" t="str">
        <f t="shared" ca="1" si="75"/>
        <v/>
      </c>
      <c r="C984" t="str">
        <f t="shared" si="76"/>
        <v/>
      </c>
      <c r="T984" s="9">
        <f t="shared" si="77"/>
        <v>0</v>
      </c>
      <c r="Z984" s="9">
        <f t="shared" si="78"/>
        <v>0</v>
      </c>
      <c r="AD984" s="9">
        <f t="shared" si="79"/>
        <v>0</v>
      </c>
    </row>
    <row r="985" spans="1:30" x14ac:dyDescent="0.4">
      <c r="A985"/>
      <c r="B985" s="9" t="str">
        <f t="shared" ca="1" si="75"/>
        <v/>
      </c>
      <c r="C985" t="str">
        <f t="shared" si="76"/>
        <v/>
      </c>
      <c r="T985" s="9">
        <f t="shared" si="77"/>
        <v>0</v>
      </c>
      <c r="Z985" s="9">
        <f t="shared" si="78"/>
        <v>0</v>
      </c>
      <c r="AD985" s="9">
        <f t="shared" si="79"/>
        <v>0</v>
      </c>
    </row>
    <row r="986" spans="1:30" x14ac:dyDescent="0.4">
      <c r="A986"/>
      <c r="B986" s="9" t="str">
        <f t="shared" ca="1" si="75"/>
        <v/>
      </c>
      <c r="C986" t="str">
        <f t="shared" si="76"/>
        <v/>
      </c>
      <c r="T986" s="9">
        <f t="shared" si="77"/>
        <v>0</v>
      </c>
      <c r="Z986" s="9">
        <f t="shared" si="78"/>
        <v>0</v>
      </c>
      <c r="AD986" s="9">
        <f t="shared" si="79"/>
        <v>0</v>
      </c>
    </row>
    <row r="987" spans="1:30" x14ac:dyDescent="0.4">
      <c r="A987"/>
      <c r="B987" s="9" t="str">
        <f t="shared" ca="1" si="75"/>
        <v/>
      </c>
      <c r="C987" t="str">
        <f t="shared" si="76"/>
        <v/>
      </c>
      <c r="T987" s="9">
        <f t="shared" si="77"/>
        <v>0</v>
      </c>
      <c r="Z987" s="9">
        <f t="shared" si="78"/>
        <v>0</v>
      </c>
      <c r="AD987" s="9">
        <f t="shared" si="79"/>
        <v>0</v>
      </c>
    </row>
    <row r="988" spans="1:30" x14ac:dyDescent="0.4">
      <c r="A988"/>
      <c r="B988" s="9" t="str">
        <f t="shared" ca="1" si="75"/>
        <v/>
      </c>
      <c r="C988" t="str">
        <f t="shared" si="76"/>
        <v/>
      </c>
      <c r="T988" s="9">
        <f t="shared" si="77"/>
        <v>0</v>
      </c>
      <c r="Z988" s="9">
        <f t="shared" si="78"/>
        <v>0</v>
      </c>
      <c r="AD988" s="9">
        <f t="shared" si="79"/>
        <v>0</v>
      </c>
    </row>
    <row r="989" spans="1:30" x14ac:dyDescent="0.4">
      <c r="A989"/>
      <c r="B989" s="9" t="str">
        <f t="shared" ca="1" si="75"/>
        <v/>
      </c>
      <c r="C989" t="str">
        <f t="shared" si="76"/>
        <v/>
      </c>
      <c r="T989" s="9">
        <f t="shared" si="77"/>
        <v>0</v>
      </c>
      <c r="Z989" s="9">
        <f t="shared" si="78"/>
        <v>0</v>
      </c>
      <c r="AD989" s="9">
        <f t="shared" si="79"/>
        <v>0</v>
      </c>
    </row>
    <row r="990" spans="1:30" x14ac:dyDescent="0.4">
      <c r="A990"/>
      <c r="B990" s="9" t="str">
        <f t="shared" ca="1" si="75"/>
        <v/>
      </c>
      <c r="C990" t="str">
        <f t="shared" si="76"/>
        <v/>
      </c>
      <c r="T990" s="9">
        <f t="shared" si="77"/>
        <v>0</v>
      </c>
      <c r="Z990" s="9">
        <f t="shared" si="78"/>
        <v>0</v>
      </c>
      <c r="AD990" s="9">
        <f t="shared" si="79"/>
        <v>0</v>
      </c>
    </row>
    <row r="991" spans="1:30" x14ac:dyDescent="0.4">
      <c r="A991"/>
      <c r="B991" s="9" t="str">
        <f t="shared" ca="1" si="75"/>
        <v/>
      </c>
      <c r="C991" t="str">
        <f t="shared" si="76"/>
        <v/>
      </c>
      <c r="T991" s="9">
        <f t="shared" si="77"/>
        <v>0</v>
      </c>
      <c r="Z991" s="9">
        <f t="shared" si="78"/>
        <v>0</v>
      </c>
      <c r="AD991" s="9">
        <f t="shared" si="79"/>
        <v>0</v>
      </c>
    </row>
    <row r="992" spans="1:30" x14ac:dyDescent="0.4">
      <c r="A992"/>
      <c r="B992" s="9" t="str">
        <f t="shared" ca="1" si="75"/>
        <v/>
      </c>
      <c r="C992" t="str">
        <f t="shared" si="76"/>
        <v/>
      </c>
      <c r="T992" s="9">
        <f t="shared" si="77"/>
        <v>0</v>
      </c>
      <c r="Z992" s="9">
        <f t="shared" si="78"/>
        <v>0</v>
      </c>
      <c r="AD992" s="9">
        <f t="shared" si="79"/>
        <v>0</v>
      </c>
    </row>
    <row r="993" spans="1:30" x14ac:dyDescent="0.4">
      <c r="A993"/>
      <c r="B993" s="9" t="str">
        <f t="shared" ca="1" si="75"/>
        <v/>
      </c>
      <c r="C993" t="str">
        <f t="shared" si="76"/>
        <v/>
      </c>
      <c r="T993" s="9">
        <f t="shared" si="77"/>
        <v>0</v>
      </c>
      <c r="Z993" s="9">
        <f t="shared" si="78"/>
        <v>0</v>
      </c>
      <c r="AD993" s="9">
        <f t="shared" si="79"/>
        <v>0</v>
      </c>
    </row>
    <row r="994" spans="1:30" x14ac:dyDescent="0.4">
      <c r="A994"/>
      <c r="B994" s="9" t="str">
        <f t="shared" ca="1" si="75"/>
        <v/>
      </c>
      <c r="C994" t="str">
        <f t="shared" si="76"/>
        <v/>
      </c>
      <c r="T994" s="9">
        <f t="shared" si="77"/>
        <v>0</v>
      </c>
      <c r="Z994" s="9">
        <f t="shared" si="78"/>
        <v>0</v>
      </c>
      <c r="AD994" s="9">
        <f t="shared" si="79"/>
        <v>0</v>
      </c>
    </row>
    <row r="995" spans="1:30" x14ac:dyDescent="0.4">
      <c r="A995"/>
      <c r="B995" s="9" t="str">
        <f t="shared" ca="1" si="75"/>
        <v/>
      </c>
      <c r="C995" t="str">
        <f t="shared" si="76"/>
        <v/>
      </c>
      <c r="T995" s="9">
        <f t="shared" si="77"/>
        <v>0</v>
      </c>
      <c r="Z995" s="9">
        <f t="shared" si="78"/>
        <v>0</v>
      </c>
      <c r="AD995" s="9">
        <f t="shared" si="79"/>
        <v>0</v>
      </c>
    </row>
    <row r="996" spans="1:30" x14ac:dyDescent="0.4">
      <c r="A996"/>
      <c r="B996" s="9" t="str">
        <f t="shared" ca="1" si="75"/>
        <v/>
      </c>
      <c r="C996" t="str">
        <f t="shared" si="76"/>
        <v/>
      </c>
      <c r="T996" s="9">
        <f t="shared" si="77"/>
        <v>0</v>
      </c>
      <c r="Z996" s="9">
        <f t="shared" si="78"/>
        <v>0</v>
      </c>
      <c r="AD996" s="9">
        <f t="shared" si="79"/>
        <v>0</v>
      </c>
    </row>
    <row r="997" spans="1:30" x14ac:dyDescent="0.4">
      <c r="A997"/>
      <c r="B997" s="9" t="str">
        <f t="shared" ca="1" si="75"/>
        <v/>
      </c>
      <c r="C997" t="str">
        <f t="shared" si="76"/>
        <v/>
      </c>
      <c r="T997" s="9">
        <f t="shared" si="77"/>
        <v>0</v>
      </c>
      <c r="Z997" s="9">
        <f t="shared" si="78"/>
        <v>0</v>
      </c>
      <c r="AD997" s="9">
        <f t="shared" si="79"/>
        <v>0</v>
      </c>
    </row>
    <row r="998" spans="1:30" x14ac:dyDescent="0.4">
      <c r="A998"/>
      <c r="B998" s="9" t="str">
        <f t="shared" ca="1" si="75"/>
        <v/>
      </c>
      <c r="C998" t="str">
        <f t="shared" si="76"/>
        <v/>
      </c>
      <c r="T998" s="9">
        <f t="shared" si="77"/>
        <v>0</v>
      </c>
      <c r="Z998" s="9">
        <f t="shared" si="78"/>
        <v>0</v>
      </c>
      <c r="AD998" s="9">
        <f t="shared" si="79"/>
        <v>0</v>
      </c>
    </row>
    <row r="999" spans="1:30" x14ac:dyDescent="0.4">
      <c r="A999"/>
      <c r="B999" s="9" t="str">
        <f t="shared" ca="1" si="75"/>
        <v/>
      </c>
      <c r="C999" t="str">
        <f t="shared" si="76"/>
        <v/>
      </c>
      <c r="T999" s="9">
        <f t="shared" si="77"/>
        <v>0</v>
      </c>
      <c r="Z999" s="9">
        <f t="shared" si="78"/>
        <v>0</v>
      </c>
      <c r="AD999" s="9">
        <f t="shared" si="79"/>
        <v>0</v>
      </c>
    </row>
    <row r="1000" spans="1:30" x14ac:dyDescent="0.4">
      <c r="A1000"/>
      <c r="B1000" s="9" t="str">
        <f t="shared" ca="1" si="75"/>
        <v/>
      </c>
      <c r="C1000" t="str">
        <f t="shared" si="76"/>
        <v/>
      </c>
      <c r="T1000" s="9">
        <f t="shared" si="77"/>
        <v>0</v>
      </c>
      <c r="Z1000" s="9">
        <f t="shared" si="78"/>
        <v>0</v>
      </c>
      <c r="AD1000" s="9">
        <f t="shared" si="79"/>
        <v>0</v>
      </c>
    </row>
    <row r="1001" spans="1:30" x14ac:dyDescent="0.4">
      <c r="C1001" t="str">
        <f t="shared" si="76"/>
        <v/>
      </c>
      <c r="T1001" s="9">
        <f t="shared" si="77"/>
        <v>0</v>
      </c>
      <c r="Z1001" s="9">
        <f t="shared" si="78"/>
        <v>0</v>
      </c>
      <c r="AD1001" s="9">
        <f t="shared" si="79"/>
        <v>0</v>
      </c>
    </row>
    <row r="1002" spans="1:30" x14ac:dyDescent="0.4">
      <c r="C1002" t="str">
        <f t="shared" si="76"/>
        <v/>
      </c>
      <c r="T1002" s="9">
        <f t="shared" si="77"/>
        <v>0</v>
      </c>
      <c r="Z1002" s="9">
        <f t="shared" si="78"/>
        <v>0</v>
      </c>
      <c r="AD1002" s="9">
        <f t="shared" si="79"/>
        <v>0</v>
      </c>
    </row>
    <row r="1003" spans="1:30" x14ac:dyDescent="0.4">
      <c r="C1003" t="str">
        <f t="shared" si="76"/>
        <v/>
      </c>
      <c r="T1003" s="9">
        <f t="shared" si="77"/>
        <v>0</v>
      </c>
      <c r="Z1003" s="9">
        <f t="shared" si="78"/>
        <v>0</v>
      </c>
      <c r="AD1003" s="9">
        <f t="shared" si="79"/>
        <v>0</v>
      </c>
    </row>
    <row r="1004" spans="1:30" x14ac:dyDescent="0.4">
      <c r="C1004" t="str">
        <f t="shared" si="76"/>
        <v/>
      </c>
      <c r="T1004" s="9">
        <f t="shared" si="77"/>
        <v>0</v>
      </c>
      <c r="Z1004" s="9">
        <f t="shared" si="78"/>
        <v>0</v>
      </c>
      <c r="AD1004" s="9">
        <f t="shared" si="79"/>
        <v>0</v>
      </c>
    </row>
    <row r="1005" spans="1:30" x14ac:dyDescent="0.4">
      <c r="C1005" t="str">
        <f t="shared" si="76"/>
        <v/>
      </c>
      <c r="T1005" s="9">
        <f t="shared" si="77"/>
        <v>0</v>
      </c>
      <c r="Z1005" s="9">
        <f t="shared" si="78"/>
        <v>0</v>
      </c>
      <c r="AD1005" s="9">
        <f t="shared" si="79"/>
        <v>0</v>
      </c>
    </row>
    <row r="1006" spans="1:30" x14ac:dyDescent="0.4">
      <c r="C1006" t="str">
        <f t="shared" si="76"/>
        <v/>
      </c>
      <c r="T1006" s="9">
        <f t="shared" si="77"/>
        <v>0</v>
      </c>
      <c r="Z1006" s="9">
        <f t="shared" si="78"/>
        <v>0</v>
      </c>
      <c r="AD1006" s="9">
        <f t="shared" si="79"/>
        <v>0</v>
      </c>
    </row>
    <row r="1007" spans="1:30" x14ac:dyDescent="0.4">
      <c r="C1007" t="str">
        <f t="shared" si="76"/>
        <v/>
      </c>
      <c r="T1007" s="9">
        <f t="shared" si="77"/>
        <v>0</v>
      </c>
      <c r="Z1007" s="9">
        <f t="shared" si="78"/>
        <v>0</v>
      </c>
      <c r="AD1007" s="9">
        <f t="shared" si="79"/>
        <v>0</v>
      </c>
    </row>
    <row r="1008" spans="1:30" x14ac:dyDescent="0.4">
      <c r="C1008" t="str">
        <f t="shared" si="76"/>
        <v/>
      </c>
      <c r="T1008" s="9">
        <f t="shared" si="77"/>
        <v>0</v>
      </c>
      <c r="Z1008" s="9">
        <f t="shared" si="78"/>
        <v>0</v>
      </c>
      <c r="AD1008" s="9">
        <f t="shared" si="79"/>
        <v>0</v>
      </c>
    </row>
    <row r="1009" spans="3:30" x14ac:dyDescent="0.4">
      <c r="C1009" t="str">
        <f t="shared" si="76"/>
        <v/>
      </c>
      <c r="T1009" s="9">
        <f t="shared" si="77"/>
        <v>0</v>
      </c>
      <c r="Z1009" s="9">
        <f t="shared" si="78"/>
        <v>0</v>
      </c>
      <c r="AD1009" s="9">
        <f t="shared" si="79"/>
        <v>0</v>
      </c>
    </row>
    <row r="1010" spans="3:30" x14ac:dyDescent="0.4">
      <c r="C1010" t="str">
        <f t="shared" si="76"/>
        <v/>
      </c>
      <c r="T1010" s="9">
        <f t="shared" si="77"/>
        <v>0</v>
      </c>
      <c r="Z1010" s="9">
        <f t="shared" si="78"/>
        <v>0</v>
      </c>
      <c r="AD1010" s="9">
        <f t="shared" si="79"/>
        <v>0</v>
      </c>
    </row>
    <row r="1011" spans="3:30" x14ac:dyDescent="0.4">
      <c r="C1011" t="str">
        <f t="shared" si="76"/>
        <v/>
      </c>
      <c r="T1011" s="9">
        <f t="shared" si="77"/>
        <v>0</v>
      </c>
      <c r="Z1011" s="9">
        <f t="shared" si="78"/>
        <v>0</v>
      </c>
      <c r="AD1011" s="9">
        <f t="shared" si="79"/>
        <v>0</v>
      </c>
    </row>
    <row r="1012" spans="3:30" x14ac:dyDescent="0.4">
      <c r="C1012" t="str">
        <f t="shared" si="76"/>
        <v/>
      </c>
      <c r="T1012" s="9">
        <f t="shared" si="77"/>
        <v>0</v>
      </c>
      <c r="Z1012" s="9">
        <f t="shared" si="78"/>
        <v>0</v>
      </c>
      <c r="AD1012" s="9">
        <f t="shared" si="79"/>
        <v>0</v>
      </c>
    </row>
    <row r="1013" spans="3:30" x14ac:dyDescent="0.4">
      <c r="C1013" t="str">
        <f t="shared" si="76"/>
        <v/>
      </c>
      <c r="T1013" s="9">
        <f t="shared" si="77"/>
        <v>0</v>
      </c>
      <c r="Z1013" s="9">
        <f t="shared" si="78"/>
        <v>0</v>
      </c>
      <c r="AD1013" s="9">
        <f t="shared" si="79"/>
        <v>0</v>
      </c>
    </row>
    <row r="1014" spans="3:30" x14ac:dyDescent="0.4">
      <c r="C1014" t="str">
        <f t="shared" si="76"/>
        <v/>
      </c>
      <c r="T1014" s="9">
        <f t="shared" si="77"/>
        <v>0</v>
      </c>
      <c r="Z1014" s="9">
        <f t="shared" si="78"/>
        <v>0</v>
      </c>
      <c r="AD1014" s="9">
        <f t="shared" si="79"/>
        <v>0</v>
      </c>
    </row>
    <row r="1015" spans="3:30" x14ac:dyDescent="0.4">
      <c r="C1015" t="str">
        <f t="shared" si="76"/>
        <v/>
      </c>
      <c r="T1015" s="9">
        <f t="shared" si="77"/>
        <v>0</v>
      </c>
      <c r="Z1015" s="9">
        <f t="shared" si="78"/>
        <v>0</v>
      </c>
      <c r="AD1015" s="9">
        <f t="shared" si="79"/>
        <v>0</v>
      </c>
    </row>
    <row r="1016" spans="3:30" x14ac:dyDescent="0.4">
      <c r="C1016" t="str">
        <f t="shared" si="76"/>
        <v/>
      </c>
      <c r="T1016" s="9">
        <f t="shared" si="77"/>
        <v>0</v>
      </c>
      <c r="Z1016" s="9">
        <f t="shared" si="78"/>
        <v>0</v>
      </c>
      <c r="AD1016" s="9">
        <f t="shared" si="79"/>
        <v>0</v>
      </c>
    </row>
    <row r="1017" spans="3:30" x14ac:dyDescent="0.4">
      <c r="C1017" t="str">
        <f t="shared" si="76"/>
        <v/>
      </c>
      <c r="T1017" s="9">
        <f t="shared" si="77"/>
        <v>0</v>
      </c>
      <c r="Z1017" s="9">
        <f t="shared" si="78"/>
        <v>0</v>
      </c>
      <c r="AD1017" s="9">
        <f t="shared" si="79"/>
        <v>0</v>
      </c>
    </row>
    <row r="1018" spans="3:30" x14ac:dyDescent="0.4">
      <c r="C1018" t="str">
        <f t="shared" si="76"/>
        <v/>
      </c>
      <c r="T1018" s="9">
        <f t="shared" si="77"/>
        <v>0</v>
      </c>
      <c r="Z1018" s="9">
        <f t="shared" si="78"/>
        <v>0</v>
      </c>
      <c r="AD1018" s="9">
        <f t="shared" si="79"/>
        <v>0</v>
      </c>
    </row>
    <row r="1019" spans="3:30" x14ac:dyDescent="0.4">
      <c r="C1019" t="str">
        <f t="shared" si="76"/>
        <v/>
      </c>
      <c r="T1019" s="9">
        <f t="shared" si="77"/>
        <v>0</v>
      </c>
      <c r="Z1019" s="9">
        <f t="shared" si="78"/>
        <v>0</v>
      </c>
      <c r="AD1019" s="9">
        <f t="shared" si="79"/>
        <v>0</v>
      </c>
    </row>
    <row r="1020" spans="3:30" x14ac:dyDescent="0.4">
      <c r="C1020" t="str">
        <f t="shared" si="76"/>
        <v/>
      </c>
      <c r="T1020" s="9">
        <f t="shared" si="77"/>
        <v>0</v>
      </c>
      <c r="Z1020" s="9">
        <f t="shared" si="78"/>
        <v>0</v>
      </c>
      <c r="AD1020" s="9">
        <f t="shared" si="79"/>
        <v>0</v>
      </c>
    </row>
    <row r="1021" spans="3:30" x14ac:dyDescent="0.4">
      <c r="C1021" t="str">
        <f t="shared" si="76"/>
        <v/>
      </c>
      <c r="T1021" s="9">
        <f t="shared" si="77"/>
        <v>0</v>
      </c>
      <c r="Z1021" s="9">
        <f t="shared" si="78"/>
        <v>0</v>
      </c>
      <c r="AD1021" s="9">
        <f t="shared" si="79"/>
        <v>0</v>
      </c>
    </row>
    <row r="1022" spans="3:30" x14ac:dyDescent="0.4">
      <c r="C1022" t="str">
        <f t="shared" si="76"/>
        <v/>
      </c>
      <c r="T1022" s="9">
        <f t="shared" si="77"/>
        <v>0</v>
      </c>
      <c r="Z1022" s="9">
        <f t="shared" si="78"/>
        <v>0</v>
      </c>
      <c r="AD1022" s="9">
        <f t="shared" si="79"/>
        <v>0</v>
      </c>
    </row>
    <row r="1023" spans="3:30" x14ac:dyDescent="0.4">
      <c r="C1023" t="str">
        <f t="shared" si="76"/>
        <v/>
      </c>
      <c r="T1023" s="9">
        <f t="shared" si="77"/>
        <v>0</v>
      </c>
      <c r="Z1023" s="9">
        <f t="shared" si="78"/>
        <v>0</v>
      </c>
      <c r="AD1023" s="9">
        <f t="shared" si="79"/>
        <v>0</v>
      </c>
    </row>
    <row r="1024" spans="3:30" x14ac:dyDescent="0.4">
      <c r="C1024" t="str">
        <f t="shared" si="76"/>
        <v/>
      </c>
      <c r="T1024" s="9">
        <f t="shared" si="77"/>
        <v>0</v>
      </c>
      <c r="Z1024" s="9">
        <f t="shared" si="78"/>
        <v>0</v>
      </c>
      <c r="AD1024" s="9">
        <f t="shared" si="79"/>
        <v>0</v>
      </c>
    </row>
    <row r="1025" spans="3:30" x14ac:dyDescent="0.4">
      <c r="C1025" t="str">
        <f t="shared" si="76"/>
        <v/>
      </c>
      <c r="T1025" s="9">
        <f t="shared" si="77"/>
        <v>0</v>
      </c>
      <c r="Z1025" s="9">
        <f t="shared" si="78"/>
        <v>0</v>
      </c>
      <c r="AD1025" s="9">
        <f t="shared" si="79"/>
        <v>0</v>
      </c>
    </row>
    <row r="1026" spans="3:30" x14ac:dyDescent="0.4">
      <c r="C1026" t="str">
        <f t="shared" si="76"/>
        <v/>
      </c>
      <c r="T1026" s="9">
        <f t="shared" si="77"/>
        <v>0</v>
      </c>
      <c r="Z1026" s="9">
        <f t="shared" si="78"/>
        <v>0</v>
      </c>
      <c r="AD1026" s="9">
        <f t="shared" si="79"/>
        <v>0</v>
      </c>
    </row>
    <row r="1027" spans="3:30" x14ac:dyDescent="0.4">
      <c r="C1027" t="str">
        <f t="shared" ref="C1027:C1090" si="80">IF(A1027="","",$J$1&amp;"\"&amp;A1027)</f>
        <v/>
      </c>
      <c r="T1027" s="9">
        <f t="shared" si="77"/>
        <v>0</v>
      </c>
      <c r="Z1027" s="9">
        <f t="shared" si="78"/>
        <v>0</v>
      </c>
      <c r="AD1027" s="9">
        <f t="shared" si="79"/>
        <v>0</v>
      </c>
    </row>
    <row r="1028" spans="3:30" x14ac:dyDescent="0.4">
      <c r="C1028" t="str">
        <f t="shared" si="80"/>
        <v/>
      </c>
      <c r="T1028" s="9">
        <f t="shared" si="77"/>
        <v>0</v>
      </c>
      <c r="Z1028" s="9">
        <f t="shared" si="78"/>
        <v>0</v>
      </c>
      <c r="AD1028" s="9">
        <f t="shared" si="79"/>
        <v>0</v>
      </c>
    </row>
    <row r="1029" spans="3:30" x14ac:dyDescent="0.4">
      <c r="C1029" t="str">
        <f t="shared" si="80"/>
        <v/>
      </c>
      <c r="T1029" s="9">
        <f t="shared" si="77"/>
        <v>0</v>
      </c>
      <c r="Z1029" s="9">
        <f t="shared" si="78"/>
        <v>0</v>
      </c>
      <c r="AD1029" s="9">
        <f t="shared" si="79"/>
        <v>0</v>
      </c>
    </row>
    <row r="1030" spans="3:30" x14ac:dyDescent="0.4">
      <c r="C1030" t="str">
        <f t="shared" si="80"/>
        <v/>
      </c>
      <c r="T1030" s="9">
        <f t="shared" si="77"/>
        <v>0</v>
      </c>
      <c r="Z1030" s="9">
        <f t="shared" si="78"/>
        <v>0</v>
      </c>
      <c r="AD1030" s="9">
        <f t="shared" si="79"/>
        <v>0</v>
      </c>
    </row>
    <row r="1031" spans="3:30" x14ac:dyDescent="0.4">
      <c r="C1031" t="str">
        <f t="shared" si="80"/>
        <v/>
      </c>
      <c r="T1031" s="9">
        <f t="shared" si="77"/>
        <v>0</v>
      </c>
      <c r="Z1031" s="9">
        <f t="shared" si="78"/>
        <v>0</v>
      </c>
      <c r="AD1031" s="9">
        <f t="shared" si="79"/>
        <v>0</v>
      </c>
    </row>
    <row r="1032" spans="3:30" x14ac:dyDescent="0.4">
      <c r="C1032" t="str">
        <f t="shared" si="80"/>
        <v/>
      </c>
      <c r="T1032" s="9">
        <f t="shared" ref="T1032:T1095" si="81">(COUNTIFS(TH_TK,N1032,TH_DuNo,O1032,TH_DuNoNT,P1032,TH_DuCo,Q1032,TH_DuCoNT,R1032,TH_SoLuong,S1032)&gt;0)*1</f>
        <v>0</v>
      </c>
      <c r="Z1032" s="9">
        <f t="shared" ref="Z1032:Z1095" si="82">(COUNTIFS(NV,U1032,TK,V1032,TongNo,W1032,TongCo,X1032,SoLuong,Y1032)&gt;0)*1</f>
        <v>0</v>
      </c>
      <c r="AD1032" s="9">
        <f t="shared" ref="AD1032:AD1095" si="83">COUNTIFS(ReportType,AA1032,ItemCode,AB1032,Amount,AC1032)</f>
        <v>0</v>
      </c>
    </row>
    <row r="1033" spans="3:30" x14ac:dyDescent="0.4">
      <c r="C1033" t="str">
        <f t="shared" si="80"/>
        <v/>
      </c>
      <c r="T1033" s="9">
        <f t="shared" si="81"/>
        <v>0</v>
      </c>
      <c r="Z1033" s="9">
        <f t="shared" si="82"/>
        <v>0</v>
      </c>
      <c r="AD1033" s="9">
        <f t="shared" si="83"/>
        <v>0</v>
      </c>
    </row>
    <row r="1034" spans="3:30" x14ac:dyDescent="0.4">
      <c r="C1034" t="str">
        <f t="shared" si="80"/>
        <v/>
      </c>
      <c r="T1034" s="9">
        <f t="shared" si="81"/>
        <v>0</v>
      </c>
      <c r="Z1034" s="9">
        <f t="shared" si="82"/>
        <v>0</v>
      </c>
      <c r="AD1034" s="9">
        <f t="shared" si="83"/>
        <v>0</v>
      </c>
    </row>
    <row r="1035" spans="3:30" x14ac:dyDescent="0.4">
      <c r="C1035" t="str">
        <f t="shared" si="80"/>
        <v/>
      </c>
      <c r="T1035" s="9">
        <f t="shared" si="81"/>
        <v>0</v>
      </c>
      <c r="Z1035" s="9">
        <f t="shared" si="82"/>
        <v>0</v>
      </c>
      <c r="AD1035" s="9">
        <f t="shared" si="83"/>
        <v>0</v>
      </c>
    </row>
    <row r="1036" spans="3:30" x14ac:dyDescent="0.4">
      <c r="C1036" t="str">
        <f t="shared" si="80"/>
        <v/>
      </c>
      <c r="T1036" s="9">
        <f t="shared" si="81"/>
        <v>0</v>
      </c>
      <c r="Z1036" s="9">
        <f t="shared" si="82"/>
        <v>0</v>
      </c>
      <c r="AD1036" s="9">
        <f t="shared" si="83"/>
        <v>0</v>
      </c>
    </row>
    <row r="1037" spans="3:30" x14ac:dyDescent="0.4">
      <c r="C1037" t="str">
        <f t="shared" si="80"/>
        <v/>
      </c>
      <c r="T1037" s="9">
        <f t="shared" si="81"/>
        <v>0</v>
      </c>
      <c r="Z1037" s="9">
        <f t="shared" si="82"/>
        <v>0</v>
      </c>
      <c r="AD1037" s="9">
        <f t="shared" si="83"/>
        <v>0</v>
      </c>
    </row>
    <row r="1038" spans="3:30" x14ac:dyDescent="0.4">
      <c r="C1038" t="str">
        <f t="shared" si="80"/>
        <v/>
      </c>
      <c r="T1038" s="9">
        <f t="shared" si="81"/>
        <v>0</v>
      </c>
      <c r="Z1038" s="9">
        <f t="shared" si="82"/>
        <v>0</v>
      </c>
      <c r="AD1038" s="9">
        <f t="shared" si="83"/>
        <v>0</v>
      </c>
    </row>
    <row r="1039" spans="3:30" x14ac:dyDescent="0.4">
      <c r="C1039" t="str">
        <f t="shared" si="80"/>
        <v/>
      </c>
      <c r="T1039" s="9">
        <f t="shared" si="81"/>
        <v>0</v>
      </c>
      <c r="Z1039" s="9">
        <f t="shared" si="82"/>
        <v>0</v>
      </c>
      <c r="AD1039" s="9">
        <f t="shared" si="83"/>
        <v>0</v>
      </c>
    </row>
    <row r="1040" spans="3:30" x14ac:dyDescent="0.4">
      <c r="C1040" t="str">
        <f t="shared" si="80"/>
        <v/>
      </c>
      <c r="T1040" s="9">
        <f t="shared" si="81"/>
        <v>0</v>
      </c>
      <c r="Z1040" s="9">
        <f t="shared" si="82"/>
        <v>0</v>
      </c>
      <c r="AD1040" s="9">
        <f t="shared" si="83"/>
        <v>0</v>
      </c>
    </row>
    <row r="1041" spans="3:30" x14ac:dyDescent="0.4">
      <c r="C1041" t="str">
        <f t="shared" si="80"/>
        <v/>
      </c>
      <c r="T1041" s="9">
        <f t="shared" si="81"/>
        <v>0</v>
      </c>
      <c r="Z1041" s="9">
        <f t="shared" si="82"/>
        <v>0</v>
      </c>
      <c r="AD1041" s="9">
        <f t="shared" si="83"/>
        <v>0</v>
      </c>
    </row>
    <row r="1042" spans="3:30" x14ac:dyDescent="0.4">
      <c r="C1042" t="str">
        <f t="shared" si="80"/>
        <v/>
      </c>
      <c r="T1042" s="9">
        <f t="shared" si="81"/>
        <v>0</v>
      </c>
      <c r="Z1042" s="9">
        <f t="shared" si="82"/>
        <v>0</v>
      </c>
      <c r="AD1042" s="9">
        <f t="shared" si="83"/>
        <v>0</v>
      </c>
    </row>
    <row r="1043" spans="3:30" x14ac:dyDescent="0.4">
      <c r="C1043" t="str">
        <f t="shared" si="80"/>
        <v/>
      </c>
      <c r="T1043" s="9">
        <f t="shared" si="81"/>
        <v>0</v>
      </c>
      <c r="Z1043" s="9">
        <f t="shared" si="82"/>
        <v>0</v>
      </c>
      <c r="AD1043" s="9">
        <f t="shared" si="83"/>
        <v>0</v>
      </c>
    </row>
    <row r="1044" spans="3:30" x14ac:dyDescent="0.4">
      <c r="C1044" t="str">
        <f t="shared" si="80"/>
        <v/>
      </c>
      <c r="T1044" s="9">
        <f t="shared" si="81"/>
        <v>0</v>
      </c>
      <c r="Z1044" s="9">
        <f t="shared" si="82"/>
        <v>0</v>
      </c>
      <c r="AD1044" s="9">
        <f t="shared" si="83"/>
        <v>0</v>
      </c>
    </row>
    <row r="1045" spans="3:30" x14ac:dyDescent="0.4">
      <c r="C1045" t="str">
        <f t="shared" si="80"/>
        <v/>
      </c>
      <c r="T1045" s="9">
        <f t="shared" si="81"/>
        <v>0</v>
      </c>
      <c r="Z1045" s="9">
        <f t="shared" si="82"/>
        <v>0</v>
      </c>
      <c r="AD1045" s="9">
        <f t="shared" si="83"/>
        <v>0</v>
      </c>
    </row>
    <row r="1046" spans="3:30" x14ac:dyDescent="0.4">
      <c r="C1046" t="str">
        <f t="shared" si="80"/>
        <v/>
      </c>
      <c r="T1046" s="9">
        <f t="shared" si="81"/>
        <v>0</v>
      </c>
      <c r="Z1046" s="9">
        <f t="shared" si="82"/>
        <v>0</v>
      </c>
      <c r="AD1046" s="9">
        <f t="shared" si="83"/>
        <v>0</v>
      </c>
    </row>
    <row r="1047" spans="3:30" x14ac:dyDescent="0.4">
      <c r="C1047" t="str">
        <f t="shared" si="80"/>
        <v/>
      </c>
      <c r="T1047" s="9">
        <f t="shared" si="81"/>
        <v>0</v>
      </c>
      <c r="Z1047" s="9">
        <f t="shared" si="82"/>
        <v>0</v>
      </c>
      <c r="AD1047" s="9">
        <f t="shared" si="83"/>
        <v>0</v>
      </c>
    </row>
    <row r="1048" spans="3:30" x14ac:dyDescent="0.4">
      <c r="C1048" t="str">
        <f t="shared" si="80"/>
        <v/>
      </c>
      <c r="T1048" s="9">
        <f t="shared" si="81"/>
        <v>0</v>
      </c>
      <c r="Z1048" s="9">
        <f t="shared" si="82"/>
        <v>0</v>
      </c>
      <c r="AD1048" s="9">
        <f t="shared" si="83"/>
        <v>0</v>
      </c>
    </row>
    <row r="1049" spans="3:30" x14ac:dyDescent="0.4">
      <c r="C1049" t="str">
        <f t="shared" si="80"/>
        <v/>
      </c>
      <c r="T1049" s="9">
        <f t="shared" si="81"/>
        <v>0</v>
      </c>
      <c r="Z1049" s="9">
        <f t="shared" si="82"/>
        <v>0</v>
      </c>
      <c r="AD1049" s="9">
        <f t="shared" si="83"/>
        <v>0</v>
      </c>
    </row>
    <row r="1050" spans="3:30" x14ac:dyDescent="0.4">
      <c r="C1050" t="str">
        <f t="shared" si="80"/>
        <v/>
      </c>
      <c r="T1050" s="9">
        <f t="shared" si="81"/>
        <v>0</v>
      </c>
      <c r="Z1050" s="9">
        <f t="shared" si="82"/>
        <v>0</v>
      </c>
      <c r="AD1050" s="9">
        <f t="shared" si="83"/>
        <v>0</v>
      </c>
    </row>
    <row r="1051" spans="3:30" x14ac:dyDescent="0.4">
      <c r="C1051" t="str">
        <f t="shared" si="80"/>
        <v/>
      </c>
      <c r="T1051" s="9">
        <f t="shared" si="81"/>
        <v>0</v>
      </c>
      <c r="Z1051" s="9">
        <f t="shared" si="82"/>
        <v>0</v>
      </c>
      <c r="AD1051" s="9">
        <f t="shared" si="83"/>
        <v>0</v>
      </c>
    </row>
    <row r="1052" spans="3:30" x14ac:dyDescent="0.4">
      <c r="C1052" t="str">
        <f t="shared" si="80"/>
        <v/>
      </c>
      <c r="T1052" s="9">
        <f t="shared" si="81"/>
        <v>0</v>
      </c>
      <c r="Z1052" s="9">
        <f t="shared" si="82"/>
        <v>0</v>
      </c>
      <c r="AD1052" s="9">
        <f t="shared" si="83"/>
        <v>0</v>
      </c>
    </row>
    <row r="1053" spans="3:30" x14ac:dyDescent="0.4">
      <c r="C1053" t="str">
        <f t="shared" si="80"/>
        <v/>
      </c>
      <c r="T1053" s="9">
        <f t="shared" si="81"/>
        <v>0</v>
      </c>
      <c r="Z1053" s="9">
        <f t="shared" si="82"/>
        <v>0</v>
      </c>
      <c r="AD1053" s="9">
        <f t="shared" si="83"/>
        <v>0</v>
      </c>
    </row>
    <row r="1054" spans="3:30" x14ac:dyDescent="0.4">
      <c r="C1054" t="str">
        <f t="shared" si="80"/>
        <v/>
      </c>
      <c r="T1054" s="9">
        <f t="shared" si="81"/>
        <v>0</v>
      </c>
      <c r="Z1054" s="9">
        <f t="shared" si="82"/>
        <v>0</v>
      </c>
      <c r="AD1054" s="9">
        <f t="shared" si="83"/>
        <v>0</v>
      </c>
    </row>
    <row r="1055" spans="3:30" x14ac:dyDescent="0.4">
      <c r="C1055" t="str">
        <f t="shared" si="80"/>
        <v/>
      </c>
      <c r="T1055" s="9">
        <f t="shared" si="81"/>
        <v>0</v>
      </c>
      <c r="Z1055" s="9">
        <f t="shared" si="82"/>
        <v>0</v>
      </c>
      <c r="AD1055" s="9">
        <f t="shared" si="83"/>
        <v>0</v>
      </c>
    </row>
    <row r="1056" spans="3:30" x14ac:dyDescent="0.4">
      <c r="C1056" t="str">
        <f t="shared" si="80"/>
        <v/>
      </c>
      <c r="T1056" s="9">
        <f t="shared" si="81"/>
        <v>0</v>
      </c>
      <c r="Z1056" s="9">
        <f t="shared" si="82"/>
        <v>0</v>
      </c>
      <c r="AD1056" s="9">
        <f t="shared" si="83"/>
        <v>0</v>
      </c>
    </row>
    <row r="1057" spans="3:30" x14ac:dyDescent="0.4">
      <c r="C1057" t="str">
        <f t="shared" si="80"/>
        <v/>
      </c>
      <c r="T1057" s="9">
        <f t="shared" si="81"/>
        <v>0</v>
      </c>
      <c r="Z1057" s="9">
        <f t="shared" si="82"/>
        <v>0</v>
      </c>
      <c r="AD1057" s="9">
        <f t="shared" si="83"/>
        <v>0</v>
      </c>
    </row>
    <row r="1058" spans="3:30" x14ac:dyDescent="0.4">
      <c r="C1058" t="str">
        <f t="shared" si="80"/>
        <v/>
      </c>
      <c r="T1058" s="9">
        <f t="shared" si="81"/>
        <v>0</v>
      </c>
      <c r="Z1058" s="9">
        <f t="shared" si="82"/>
        <v>0</v>
      </c>
      <c r="AD1058" s="9">
        <f t="shared" si="83"/>
        <v>0</v>
      </c>
    </row>
    <row r="1059" spans="3:30" x14ac:dyDescent="0.4">
      <c r="C1059" t="str">
        <f t="shared" si="80"/>
        <v/>
      </c>
      <c r="T1059" s="9">
        <f t="shared" si="81"/>
        <v>0</v>
      </c>
      <c r="Z1059" s="9">
        <f t="shared" si="82"/>
        <v>0</v>
      </c>
      <c r="AD1059" s="9">
        <f t="shared" si="83"/>
        <v>0</v>
      </c>
    </row>
    <row r="1060" spans="3:30" x14ac:dyDescent="0.4">
      <c r="C1060" t="str">
        <f t="shared" si="80"/>
        <v/>
      </c>
      <c r="T1060" s="9">
        <f t="shared" si="81"/>
        <v>0</v>
      </c>
      <c r="Z1060" s="9">
        <f t="shared" si="82"/>
        <v>0</v>
      </c>
      <c r="AD1060" s="9">
        <f t="shared" si="83"/>
        <v>0</v>
      </c>
    </row>
    <row r="1061" spans="3:30" x14ac:dyDescent="0.4">
      <c r="C1061" t="str">
        <f t="shared" si="80"/>
        <v/>
      </c>
      <c r="T1061" s="9">
        <f t="shared" si="81"/>
        <v>0</v>
      </c>
      <c r="Z1061" s="9">
        <f t="shared" si="82"/>
        <v>0</v>
      </c>
      <c r="AD1061" s="9">
        <f t="shared" si="83"/>
        <v>0</v>
      </c>
    </row>
    <row r="1062" spans="3:30" x14ac:dyDescent="0.4">
      <c r="C1062" t="str">
        <f t="shared" si="80"/>
        <v/>
      </c>
      <c r="T1062" s="9">
        <f t="shared" si="81"/>
        <v>0</v>
      </c>
      <c r="Z1062" s="9">
        <f t="shared" si="82"/>
        <v>0</v>
      </c>
      <c r="AD1062" s="9">
        <f t="shared" si="83"/>
        <v>0</v>
      </c>
    </row>
    <row r="1063" spans="3:30" x14ac:dyDescent="0.4">
      <c r="C1063" t="str">
        <f t="shared" si="80"/>
        <v/>
      </c>
      <c r="T1063" s="9">
        <f t="shared" si="81"/>
        <v>0</v>
      </c>
      <c r="Z1063" s="9">
        <f t="shared" si="82"/>
        <v>0</v>
      </c>
      <c r="AD1063" s="9">
        <f t="shared" si="83"/>
        <v>0</v>
      </c>
    </row>
    <row r="1064" spans="3:30" x14ac:dyDescent="0.4">
      <c r="C1064" t="str">
        <f t="shared" si="80"/>
        <v/>
      </c>
      <c r="T1064" s="9">
        <f t="shared" si="81"/>
        <v>0</v>
      </c>
      <c r="Z1064" s="9">
        <f t="shared" si="82"/>
        <v>0</v>
      </c>
      <c r="AD1064" s="9">
        <f t="shared" si="83"/>
        <v>0</v>
      </c>
    </row>
    <row r="1065" spans="3:30" x14ac:dyDescent="0.4">
      <c r="C1065" t="str">
        <f t="shared" si="80"/>
        <v/>
      </c>
      <c r="T1065" s="9">
        <f t="shared" si="81"/>
        <v>0</v>
      </c>
      <c r="Z1065" s="9">
        <f t="shared" si="82"/>
        <v>0</v>
      </c>
      <c r="AD1065" s="9">
        <f t="shared" si="83"/>
        <v>0</v>
      </c>
    </row>
    <row r="1066" spans="3:30" x14ac:dyDescent="0.4">
      <c r="C1066" t="str">
        <f t="shared" si="80"/>
        <v/>
      </c>
      <c r="T1066" s="9">
        <f t="shared" si="81"/>
        <v>0</v>
      </c>
      <c r="Z1066" s="9">
        <f t="shared" si="82"/>
        <v>0</v>
      </c>
      <c r="AD1066" s="9">
        <f t="shared" si="83"/>
        <v>0</v>
      </c>
    </row>
    <row r="1067" spans="3:30" x14ac:dyDescent="0.4">
      <c r="C1067" t="str">
        <f t="shared" si="80"/>
        <v/>
      </c>
      <c r="T1067" s="9">
        <f t="shared" si="81"/>
        <v>0</v>
      </c>
      <c r="Z1067" s="9">
        <f t="shared" si="82"/>
        <v>0</v>
      </c>
      <c r="AD1067" s="9">
        <f t="shared" si="83"/>
        <v>0</v>
      </c>
    </row>
    <row r="1068" spans="3:30" x14ac:dyDescent="0.4">
      <c r="C1068" t="str">
        <f t="shared" si="80"/>
        <v/>
      </c>
      <c r="T1068" s="9">
        <f t="shared" si="81"/>
        <v>0</v>
      </c>
      <c r="Z1068" s="9">
        <f t="shared" si="82"/>
        <v>0</v>
      </c>
      <c r="AD1068" s="9">
        <f t="shared" si="83"/>
        <v>0</v>
      </c>
    </row>
    <row r="1069" spans="3:30" x14ac:dyDescent="0.4">
      <c r="C1069" t="str">
        <f t="shared" si="80"/>
        <v/>
      </c>
      <c r="T1069" s="9">
        <f t="shared" si="81"/>
        <v>0</v>
      </c>
      <c r="Z1069" s="9">
        <f t="shared" si="82"/>
        <v>0</v>
      </c>
      <c r="AD1069" s="9">
        <f t="shared" si="83"/>
        <v>0</v>
      </c>
    </row>
    <row r="1070" spans="3:30" x14ac:dyDescent="0.4">
      <c r="C1070" t="str">
        <f t="shared" si="80"/>
        <v/>
      </c>
      <c r="T1070" s="9">
        <f t="shared" si="81"/>
        <v>0</v>
      </c>
      <c r="Z1070" s="9">
        <f t="shared" si="82"/>
        <v>0</v>
      </c>
      <c r="AD1070" s="9">
        <f t="shared" si="83"/>
        <v>0</v>
      </c>
    </row>
    <row r="1071" spans="3:30" x14ac:dyDescent="0.4">
      <c r="C1071" t="str">
        <f t="shared" si="80"/>
        <v/>
      </c>
      <c r="T1071" s="9">
        <f t="shared" si="81"/>
        <v>0</v>
      </c>
      <c r="Z1071" s="9">
        <f t="shared" si="82"/>
        <v>0</v>
      </c>
      <c r="AD1071" s="9">
        <f t="shared" si="83"/>
        <v>0</v>
      </c>
    </row>
    <row r="1072" spans="3:30" x14ac:dyDescent="0.4">
      <c r="C1072" t="str">
        <f t="shared" si="80"/>
        <v/>
      </c>
      <c r="T1072" s="9">
        <f t="shared" si="81"/>
        <v>0</v>
      </c>
      <c r="Z1072" s="9">
        <f t="shared" si="82"/>
        <v>0</v>
      </c>
      <c r="AD1072" s="9">
        <f t="shared" si="83"/>
        <v>0</v>
      </c>
    </row>
    <row r="1073" spans="3:30" x14ac:dyDescent="0.4">
      <c r="C1073" t="str">
        <f t="shared" si="80"/>
        <v/>
      </c>
      <c r="T1073" s="9">
        <f t="shared" si="81"/>
        <v>0</v>
      </c>
      <c r="Z1073" s="9">
        <f t="shared" si="82"/>
        <v>0</v>
      </c>
      <c r="AD1073" s="9">
        <f t="shared" si="83"/>
        <v>0</v>
      </c>
    </row>
    <row r="1074" spans="3:30" x14ac:dyDescent="0.4">
      <c r="C1074" t="str">
        <f t="shared" si="80"/>
        <v/>
      </c>
      <c r="T1074" s="9">
        <f t="shared" si="81"/>
        <v>0</v>
      </c>
      <c r="Z1074" s="9">
        <f t="shared" si="82"/>
        <v>0</v>
      </c>
      <c r="AD1074" s="9">
        <f t="shared" si="83"/>
        <v>0</v>
      </c>
    </row>
    <row r="1075" spans="3:30" x14ac:dyDescent="0.4">
      <c r="C1075" t="str">
        <f t="shared" si="80"/>
        <v/>
      </c>
      <c r="T1075" s="9">
        <f t="shared" si="81"/>
        <v>0</v>
      </c>
      <c r="Z1075" s="9">
        <f t="shared" si="82"/>
        <v>0</v>
      </c>
      <c r="AD1075" s="9">
        <f t="shared" si="83"/>
        <v>0</v>
      </c>
    </row>
    <row r="1076" spans="3:30" x14ac:dyDescent="0.4">
      <c r="C1076" t="str">
        <f t="shared" si="80"/>
        <v/>
      </c>
      <c r="T1076" s="9">
        <f t="shared" si="81"/>
        <v>0</v>
      </c>
      <c r="Z1076" s="9">
        <f t="shared" si="82"/>
        <v>0</v>
      </c>
      <c r="AD1076" s="9">
        <f t="shared" si="83"/>
        <v>0</v>
      </c>
    </row>
    <row r="1077" spans="3:30" x14ac:dyDescent="0.4">
      <c r="C1077" t="str">
        <f t="shared" si="80"/>
        <v/>
      </c>
      <c r="T1077" s="9">
        <f t="shared" si="81"/>
        <v>0</v>
      </c>
      <c r="Z1077" s="9">
        <f t="shared" si="82"/>
        <v>0</v>
      </c>
      <c r="AD1077" s="9">
        <f t="shared" si="83"/>
        <v>0</v>
      </c>
    </row>
    <row r="1078" spans="3:30" x14ac:dyDescent="0.4">
      <c r="C1078" t="str">
        <f t="shared" si="80"/>
        <v/>
      </c>
      <c r="T1078" s="9">
        <f t="shared" si="81"/>
        <v>0</v>
      </c>
      <c r="Z1078" s="9">
        <f t="shared" si="82"/>
        <v>0</v>
      </c>
      <c r="AD1078" s="9">
        <f t="shared" si="83"/>
        <v>0</v>
      </c>
    </row>
    <row r="1079" spans="3:30" x14ac:dyDescent="0.4">
      <c r="C1079" t="str">
        <f t="shared" si="80"/>
        <v/>
      </c>
      <c r="T1079" s="9">
        <f t="shared" si="81"/>
        <v>0</v>
      </c>
      <c r="Z1079" s="9">
        <f t="shared" si="82"/>
        <v>0</v>
      </c>
      <c r="AD1079" s="9">
        <f t="shared" si="83"/>
        <v>0</v>
      </c>
    </row>
    <row r="1080" spans="3:30" x14ac:dyDescent="0.4">
      <c r="C1080" t="str">
        <f t="shared" si="80"/>
        <v/>
      </c>
      <c r="T1080" s="9">
        <f t="shared" si="81"/>
        <v>0</v>
      </c>
      <c r="Z1080" s="9">
        <f t="shared" si="82"/>
        <v>0</v>
      </c>
      <c r="AD1080" s="9">
        <f t="shared" si="83"/>
        <v>0</v>
      </c>
    </row>
    <row r="1081" spans="3:30" x14ac:dyDescent="0.4">
      <c r="C1081" t="str">
        <f t="shared" si="80"/>
        <v/>
      </c>
      <c r="T1081" s="9">
        <f t="shared" si="81"/>
        <v>0</v>
      </c>
      <c r="Z1081" s="9">
        <f t="shared" si="82"/>
        <v>0</v>
      </c>
      <c r="AD1081" s="9">
        <f t="shared" si="83"/>
        <v>0</v>
      </c>
    </row>
    <row r="1082" spans="3:30" x14ac:dyDescent="0.4">
      <c r="C1082" t="str">
        <f t="shared" si="80"/>
        <v/>
      </c>
      <c r="T1082" s="9">
        <f t="shared" si="81"/>
        <v>0</v>
      </c>
      <c r="Z1082" s="9">
        <f t="shared" si="82"/>
        <v>0</v>
      </c>
      <c r="AD1082" s="9">
        <f t="shared" si="83"/>
        <v>0</v>
      </c>
    </row>
    <row r="1083" spans="3:30" x14ac:dyDescent="0.4">
      <c r="C1083" t="str">
        <f t="shared" si="80"/>
        <v/>
      </c>
      <c r="T1083" s="9">
        <f t="shared" si="81"/>
        <v>0</v>
      </c>
      <c r="Z1083" s="9">
        <f t="shared" si="82"/>
        <v>0</v>
      </c>
      <c r="AD1083" s="9">
        <f t="shared" si="83"/>
        <v>0</v>
      </c>
    </row>
    <row r="1084" spans="3:30" x14ac:dyDescent="0.4">
      <c r="C1084" t="str">
        <f t="shared" si="80"/>
        <v/>
      </c>
      <c r="T1084" s="9">
        <f t="shared" si="81"/>
        <v>0</v>
      </c>
      <c r="Z1084" s="9">
        <f t="shared" si="82"/>
        <v>0</v>
      </c>
      <c r="AD1084" s="9">
        <f t="shared" si="83"/>
        <v>0</v>
      </c>
    </row>
    <row r="1085" spans="3:30" x14ac:dyDescent="0.4">
      <c r="C1085" t="str">
        <f t="shared" si="80"/>
        <v/>
      </c>
      <c r="T1085" s="9">
        <f t="shared" si="81"/>
        <v>0</v>
      </c>
      <c r="Z1085" s="9">
        <f t="shared" si="82"/>
        <v>0</v>
      </c>
      <c r="AD1085" s="9">
        <f t="shared" si="83"/>
        <v>0</v>
      </c>
    </row>
    <row r="1086" spans="3:30" x14ac:dyDescent="0.4">
      <c r="C1086" t="str">
        <f t="shared" si="80"/>
        <v/>
      </c>
      <c r="T1086" s="9">
        <f t="shared" si="81"/>
        <v>0</v>
      </c>
      <c r="Z1086" s="9">
        <f t="shared" si="82"/>
        <v>0</v>
      </c>
      <c r="AD1086" s="9">
        <f t="shared" si="83"/>
        <v>0</v>
      </c>
    </row>
    <row r="1087" spans="3:30" x14ac:dyDescent="0.4">
      <c r="C1087" t="str">
        <f t="shared" si="80"/>
        <v/>
      </c>
      <c r="T1087" s="9">
        <f t="shared" si="81"/>
        <v>0</v>
      </c>
      <c r="Z1087" s="9">
        <f t="shared" si="82"/>
        <v>0</v>
      </c>
      <c r="AD1087" s="9">
        <f t="shared" si="83"/>
        <v>0</v>
      </c>
    </row>
    <row r="1088" spans="3:30" x14ac:dyDescent="0.4">
      <c r="C1088" t="str">
        <f t="shared" si="80"/>
        <v/>
      </c>
      <c r="T1088" s="9">
        <f t="shared" si="81"/>
        <v>0</v>
      </c>
      <c r="Z1088" s="9">
        <f t="shared" si="82"/>
        <v>0</v>
      </c>
      <c r="AD1088" s="9">
        <f t="shared" si="83"/>
        <v>0</v>
      </c>
    </row>
    <row r="1089" spans="3:30" x14ac:dyDescent="0.4">
      <c r="C1089" t="str">
        <f t="shared" si="80"/>
        <v/>
      </c>
      <c r="T1089" s="9">
        <f t="shared" si="81"/>
        <v>0</v>
      </c>
      <c r="Z1089" s="9">
        <f t="shared" si="82"/>
        <v>0</v>
      </c>
      <c r="AD1089" s="9">
        <f t="shared" si="83"/>
        <v>0</v>
      </c>
    </row>
    <row r="1090" spans="3:30" x14ac:dyDescent="0.4">
      <c r="C1090" t="str">
        <f t="shared" si="80"/>
        <v/>
      </c>
      <c r="T1090" s="9">
        <f t="shared" si="81"/>
        <v>0</v>
      </c>
      <c r="Z1090" s="9">
        <f t="shared" si="82"/>
        <v>0</v>
      </c>
      <c r="AD1090" s="9">
        <f t="shared" si="83"/>
        <v>0</v>
      </c>
    </row>
    <row r="1091" spans="3:30" x14ac:dyDescent="0.4">
      <c r="C1091" t="str">
        <f t="shared" ref="C1091:C1154" si="84">IF(A1091="","",$J$1&amp;"\"&amp;A1091)</f>
        <v/>
      </c>
      <c r="T1091" s="9">
        <f t="shared" si="81"/>
        <v>0</v>
      </c>
      <c r="Z1091" s="9">
        <f t="shared" si="82"/>
        <v>0</v>
      </c>
      <c r="AD1091" s="9">
        <f t="shared" si="83"/>
        <v>0</v>
      </c>
    </row>
    <row r="1092" spans="3:30" x14ac:dyDescent="0.4">
      <c r="C1092" t="str">
        <f t="shared" si="84"/>
        <v/>
      </c>
      <c r="T1092" s="9">
        <f t="shared" si="81"/>
        <v>0</v>
      </c>
      <c r="Z1092" s="9">
        <f t="shared" si="82"/>
        <v>0</v>
      </c>
      <c r="AD1092" s="9">
        <f t="shared" si="83"/>
        <v>0</v>
      </c>
    </row>
    <row r="1093" spans="3:30" x14ac:dyDescent="0.4">
      <c r="C1093" t="str">
        <f t="shared" si="84"/>
        <v/>
      </c>
      <c r="T1093" s="9">
        <f t="shared" si="81"/>
        <v>0</v>
      </c>
      <c r="Z1093" s="9">
        <f t="shared" si="82"/>
        <v>0</v>
      </c>
      <c r="AD1093" s="9">
        <f t="shared" si="83"/>
        <v>0</v>
      </c>
    </row>
    <row r="1094" spans="3:30" x14ac:dyDescent="0.4">
      <c r="C1094" t="str">
        <f t="shared" si="84"/>
        <v/>
      </c>
      <c r="T1094" s="9">
        <f t="shared" si="81"/>
        <v>0</v>
      </c>
      <c r="Z1094" s="9">
        <f t="shared" si="82"/>
        <v>0</v>
      </c>
      <c r="AD1094" s="9">
        <f t="shared" si="83"/>
        <v>0</v>
      </c>
    </row>
    <row r="1095" spans="3:30" x14ac:dyDescent="0.4">
      <c r="C1095" t="str">
        <f t="shared" si="84"/>
        <v/>
      </c>
      <c r="T1095" s="9">
        <f t="shared" si="81"/>
        <v>0</v>
      </c>
      <c r="Z1095" s="9">
        <f t="shared" si="82"/>
        <v>0</v>
      </c>
      <c r="AD1095" s="9">
        <f t="shared" si="83"/>
        <v>0</v>
      </c>
    </row>
    <row r="1096" spans="3:30" x14ac:dyDescent="0.4">
      <c r="C1096" t="str">
        <f t="shared" si="84"/>
        <v/>
      </c>
      <c r="T1096" s="9">
        <f t="shared" ref="T1096:T1159" si="85">(COUNTIFS(TH_TK,N1096,TH_DuNo,O1096,TH_DuNoNT,P1096,TH_DuCo,Q1096,TH_DuCoNT,R1096,TH_SoLuong,S1096)&gt;0)*1</f>
        <v>0</v>
      </c>
      <c r="Z1096" s="9">
        <f t="shared" ref="Z1096:Z1159" si="86">(COUNTIFS(NV,U1096,TK,V1096,TongNo,W1096,TongCo,X1096,SoLuong,Y1096)&gt;0)*1</f>
        <v>0</v>
      </c>
      <c r="AD1096" s="9">
        <f t="shared" ref="AD1096:AD1159" si="87">COUNTIFS(ReportType,AA1096,ItemCode,AB1096,Amount,AC1096)</f>
        <v>0</v>
      </c>
    </row>
    <row r="1097" spans="3:30" x14ac:dyDescent="0.4">
      <c r="C1097" t="str">
        <f t="shared" si="84"/>
        <v/>
      </c>
      <c r="T1097" s="9">
        <f t="shared" si="85"/>
        <v>0</v>
      </c>
      <c r="Z1097" s="9">
        <f t="shared" si="86"/>
        <v>0</v>
      </c>
      <c r="AD1097" s="9">
        <f t="shared" si="87"/>
        <v>0</v>
      </c>
    </row>
    <row r="1098" spans="3:30" x14ac:dyDescent="0.4">
      <c r="C1098" t="str">
        <f t="shared" si="84"/>
        <v/>
      </c>
      <c r="T1098" s="9">
        <f t="shared" si="85"/>
        <v>0</v>
      </c>
      <c r="Z1098" s="9">
        <f t="shared" si="86"/>
        <v>0</v>
      </c>
      <c r="AD1098" s="9">
        <f t="shared" si="87"/>
        <v>0</v>
      </c>
    </row>
    <row r="1099" spans="3:30" x14ac:dyDescent="0.4">
      <c r="C1099" t="str">
        <f t="shared" si="84"/>
        <v/>
      </c>
      <c r="T1099" s="9">
        <f t="shared" si="85"/>
        <v>0</v>
      </c>
      <c r="Z1099" s="9">
        <f t="shared" si="86"/>
        <v>0</v>
      </c>
      <c r="AD1099" s="9">
        <f t="shared" si="87"/>
        <v>0</v>
      </c>
    </row>
    <row r="1100" spans="3:30" x14ac:dyDescent="0.4">
      <c r="C1100" t="str">
        <f t="shared" si="84"/>
        <v/>
      </c>
      <c r="T1100" s="9">
        <f t="shared" si="85"/>
        <v>0</v>
      </c>
      <c r="Z1100" s="9">
        <f t="shared" si="86"/>
        <v>0</v>
      </c>
      <c r="AD1100" s="9">
        <f t="shared" si="87"/>
        <v>0</v>
      </c>
    </row>
    <row r="1101" spans="3:30" x14ac:dyDescent="0.4">
      <c r="C1101" t="str">
        <f t="shared" si="84"/>
        <v/>
      </c>
      <c r="T1101" s="9">
        <f t="shared" si="85"/>
        <v>0</v>
      </c>
      <c r="Z1101" s="9">
        <f t="shared" si="86"/>
        <v>0</v>
      </c>
      <c r="AD1101" s="9">
        <f t="shared" si="87"/>
        <v>0</v>
      </c>
    </row>
    <row r="1102" spans="3:30" x14ac:dyDescent="0.4">
      <c r="C1102" t="str">
        <f t="shared" si="84"/>
        <v/>
      </c>
      <c r="T1102" s="9">
        <f t="shared" si="85"/>
        <v>0</v>
      </c>
      <c r="Z1102" s="9">
        <f t="shared" si="86"/>
        <v>0</v>
      </c>
      <c r="AD1102" s="9">
        <f t="shared" si="87"/>
        <v>0</v>
      </c>
    </row>
    <row r="1103" spans="3:30" x14ac:dyDescent="0.4">
      <c r="C1103" t="str">
        <f t="shared" si="84"/>
        <v/>
      </c>
      <c r="T1103" s="9">
        <f t="shared" si="85"/>
        <v>0</v>
      </c>
      <c r="Z1103" s="9">
        <f t="shared" si="86"/>
        <v>0</v>
      </c>
      <c r="AD1103" s="9">
        <f t="shared" si="87"/>
        <v>0</v>
      </c>
    </row>
    <row r="1104" spans="3:30" x14ac:dyDescent="0.4">
      <c r="C1104" t="str">
        <f t="shared" si="84"/>
        <v/>
      </c>
      <c r="T1104" s="9">
        <f t="shared" si="85"/>
        <v>0</v>
      </c>
      <c r="Z1104" s="9">
        <f t="shared" si="86"/>
        <v>0</v>
      </c>
      <c r="AD1104" s="9">
        <f t="shared" si="87"/>
        <v>0</v>
      </c>
    </row>
    <row r="1105" spans="3:30" x14ac:dyDescent="0.4">
      <c r="C1105" t="str">
        <f t="shared" si="84"/>
        <v/>
      </c>
      <c r="T1105" s="9">
        <f t="shared" si="85"/>
        <v>0</v>
      </c>
      <c r="Z1105" s="9">
        <f t="shared" si="86"/>
        <v>0</v>
      </c>
      <c r="AD1105" s="9">
        <f t="shared" si="87"/>
        <v>0</v>
      </c>
    </row>
    <row r="1106" spans="3:30" x14ac:dyDescent="0.4">
      <c r="C1106" t="str">
        <f t="shared" si="84"/>
        <v/>
      </c>
      <c r="T1106" s="9">
        <f t="shared" si="85"/>
        <v>0</v>
      </c>
      <c r="Z1106" s="9">
        <f t="shared" si="86"/>
        <v>0</v>
      </c>
      <c r="AD1106" s="9">
        <f t="shared" si="87"/>
        <v>0</v>
      </c>
    </row>
    <row r="1107" spans="3:30" x14ac:dyDescent="0.4">
      <c r="C1107" t="str">
        <f t="shared" si="84"/>
        <v/>
      </c>
      <c r="T1107" s="9">
        <f t="shared" si="85"/>
        <v>0</v>
      </c>
      <c r="Z1107" s="9">
        <f t="shared" si="86"/>
        <v>0</v>
      </c>
      <c r="AD1107" s="9">
        <f t="shared" si="87"/>
        <v>0</v>
      </c>
    </row>
    <row r="1108" spans="3:30" x14ac:dyDescent="0.4">
      <c r="C1108" t="str">
        <f t="shared" si="84"/>
        <v/>
      </c>
      <c r="T1108" s="9">
        <f t="shared" si="85"/>
        <v>0</v>
      </c>
      <c r="Z1108" s="9">
        <f t="shared" si="86"/>
        <v>0</v>
      </c>
      <c r="AD1108" s="9">
        <f t="shared" si="87"/>
        <v>0</v>
      </c>
    </row>
    <row r="1109" spans="3:30" x14ac:dyDescent="0.4">
      <c r="C1109" t="str">
        <f t="shared" si="84"/>
        <v/>
      </c>
      <c r="T1109" s="9">
        <f t="shared" si="85"/>
        <v>0</v>
      </c>
      <c r="Z1109" s="9">
        <f t="shared" si="86"/>
        <v>0</v>
      </c>
      <c r="AD1109" s="9">
        <f t="shared" si="87"/>
        <v>0</v>
      </c>
    </row>
    <row r="1110" spans="3:30" x14ac:dyDescent="0.4">
      <c r="C1110" t="str">
        <f t="shared" si="84"/>
        <v/>
      </c>
      <c r="T1110" s="9">
        <f t="shared" si="85"/>
        <v>0</v>
      </c>
      <c r="Z1110" s="9">
        <f t="shared" si="86"/>
        <v>0</v>
      </c>
      <c r="AD1110" s="9">
        <f t="shared" si="87"/>
        <v>0</v>
      </c>
    </row>
    <row r="1111" spans="3:30" x14ac:dyDescent="0.4">
      <c r="C1111" t="str">
        <f t="shared" si="84"/>
        <v/>
      </c>
      <c r="T1111" s="9">
        <f t="shared" si="85"/>
        <v>0</v>
      </c>
      <c r="Z1111" s="9">
        <f t="shared" si="86"/>
        <v>0</v>
      </c>
      <c r="AD1111" s="9">
        <f t="shared" si="87"/>
        <v>0</v>
      </c>
    </row>
    <row r="1112" spans="3:30" x14ac:dyDescent="0.4">
      <c r="C1112" t="str">
        <f t="shared" si="84"/>
        <v/>
      </c>
      <c r="T1112" s="9">
        <f t="shared" si="85"/>
        <v>0</v>
      </c>
      <c r="Z1112" s="9">
        <f t="shared" si="86"/>
        <v>0</v>
      </c>
      <c r="AD1112" s="9">
        <f t="shared" si="87"/>
        <v>0</v>
      </c>
    </row>
    <row r="1113" spans="3:30" x14ac:dyDescent="0.4">
      <c r="C1113" t="str">
        <f t="shared" si="84"/>
        <v/>
      </c>
      <c r="T1113" s="9">
        <f t="shared" si="85"/>
        <v>0</v>
      </c>
      <c r="Z1113" s="9">
        <f t="shared" si="86"/>
        <v>0</v>
      </c>
      <c r="AD1113" s="9">
        <f t="shared" si="87"/>
        <v>0</v>
      </c>
    </row>
    <row r="1114" spans="3:30" x14ac:dyDescent="0.4">
      <c r="C1114" t="str">
        <f t="shared" si="84"/>
        <v/>
      </c>
      <c r="T1114" s="9">
        <f t="shared" si="85"/>
        <v>0</v>
      </c>
      <c r="Z1114" s="9">
        <f t="shared" si="86"/>
        <v>0</v>
      </c>
      <c r="AD1114" s="9">
        <f t="shared" si="87"/>
        <v>0</v>
      </c>
    </row>
    <row r="1115" spans="3:30" x14ac:dyDescent="0.4">
      <c r="C1115" t="str">
        <f t="shared" si="84"/>
        <v/>
      </c>
      <c r="T1115" s="9">
        <f t="shared" si="85"/>
        <v>0</v>
      </c>
      <c r="Z1115" s="9">
        <f t="shared" si="86"/>
        <v>0</v>
      </c>
      <c r="AD1115" s="9">
        <f t="shared" si="87"/>
        <v>0</v>
      </c>
    </row>
    <row r="1116" spans="3:30" x14ac:dyDescent="0.4">
      <c r="C1116" t="str">
        <f t="shared" si="84"/>
        <v/>
      </c>
      <c r="T1116" s="9">
        <f t="shared" si="85"/>
        <v>0</v>
      </c>
      <c r="Z1116" s="9">
        <f t="shared" si="86"/>
        <v>0</v>
      </c>
      <c r="AD1116" s="9">
        <f t="shared" si="87"/>
        <v>0</v>
      </c>
    </row>
    <row r="1117" spans="3:30" x14ac:dyDescent="0.4">
      <c r="C1117" t="str">
        <f t="shared" si="84"/>
        <v/>
      </c>
      <c r="T1117" s="9">
        <f t="shared" si="85"/>
        <v>0</v>
      </c>
      <c r="Z1117" s="9">
        <f t="shared" si="86"/>
        <v>0</v>
      </c>
      <c r="AD1117" s="9">
        <f t="shared" si="87"/>
        <v>0</v>
      </c>
    </row>
    <row r="1118" spans="3:30" x14ac:dyDescent="0.4">
      <c r="C1118" t="str">
        <f t="shared" si="84"/>
        <v/>
      </c>
      <c r="T1118" s="9">
        <f t="shared" si="85"/>
        <v>0</v>
      </c>
      <c r="Z1118" s="9">
        <f t="shared" si="86"/>
        <v>0</v>
      </c>
      <c r="AD1118" s="9">
        <f t="shared" si="87"/>
        <v>0</v>
      </c>
    </row>
    <row r="1119" spans="3:30" x14ac:dyDescent="0.4">
      <c r="C1119" t="str">
        <f t="shared" si="84"/>
        <v/>
      </c>
      <c r="T1119" s="9">
        <f t="shared" si="85"/>
        <v>0</v>
      </c>
      <c r="Z1119" s="9">
        <f t="shared" si="86"/>
        <v>0</v>
      </c>
      <c r="AD1119" s="9">
        <f t="shared" si="87"/>
        <v>0</v>
      </c>
    </row>
    <row r="1120" spans="3:30" x14ac:dyDescent="0.4">
      <c r="C1120" t="str">
        <f t="shared" si="84"/>
        <v/>
      </c>
      <c r="T1120" s="9">
        <f t="shared" si="85"/>
        <v>0</v>
      </c>
      <c r="Z1120" s="9">
        <f t="shared" si="86"/>
        <v>0</v>
      </c>
      <c r="AD1120" s="9">
        <f t="shared" si="87"/>
        <v>0</v>
      </c>
    </row>
    <row r="1121" spans="3:30" x14ac:dyDescent="0.4">
      <c r="C1121" t="str">
        <f t="shared" si="84"/>
        <v/>
      </c>
      <c r="T1121" s="9">
        <f t="shared" si="85"/>
        <v>0</v>
      </c>
      <c r="Z1121" s="9">
        <f t="shared" si="86"/>
        <v>0</v>
      </c>
      <c r="AD1121" s="9">
        <f t="shared" si="87"/>
        <v>0</v>
      </c>
    </row>
    <row r="1122" spans="3:30" x14ac:dyDescent="0.4">
      <c r="C1122" t="str">
        <f t="shared" si="84"/>
        <v/>
      </c>
      <c r="T1122" s="9">
        <f t="shared" si="85"/>
        <v>0</v>
      </c>
      <c r="Z1122" s="9">
        <f t="shared" si="86"/>
        <v>0</v>
      </c>
      <c r="AD1122" s="9">
        <f t="shared" si="87"/>
        <v>0</v>
      </c>
    </row>
    <row r="1123" spans="3:30" x14ac:dyDescent="0.4">
      <c r="C1123" t="str">
        <f t="shared" si="84"/>
        <v/>
      </c>
      <c r="T1123" s="9">
        <f t="shared" si="85"/>
        <v>0</v>
      </c>
      <c r="Z1123" s="9">
        <f t="shared" si="86"/>
        <v>0</v>
      </c>
      <c r="AD1123" s="9">
        <f t="shared" si="87"/>
        <v>0</v>
      </c>
    </row>
    <row r="1124" spans="3:30" x14ac:dyDescent="0.4">
      <c r="C1124" t="str">
        <f t="shared" si="84"/>
        <v/>
      </c>
      <c r="T1124" s="9">
        <f t="shared" si="85"/>
        <v>0</v>
      </c>
      <c r="Z1124" s="9">
        <f t="shared" si="86"/>
        <v>0</v>
      </c>
      <c r="AD1124" s="9">
        <f t="shared" si="87"/>
        <v>0</v>
      </c>
    </row>
    <row r="1125" spans="3:30" x14ac:dyDescent="0.4">
      <c r="C1125" t="str">
        <f t="shared" si="84"/>
        <v/>
      </c>
      <c r="T1125" s="9">
        <f t="shared" si="85"/>
        <v>0</v>
      </c>
      <c r="Z1125" s="9">
        <f t="shared" si="86"/>
        <v>0</v>
      </c>
      <c r="AD1125" s="9">
        <f t="shared" si="87"/>
        <v>0</v>
      </c>
    </row>
    <row r="1126" spans="3:30" x14ac:dyDescent="0.4">
      <c r="C1126" t="str">
        <f t="shared" si="84"/>
        <v/>
      </c>
      <c r="T1126" s="9">
        <f t="shared" si="85"/>
        <v>0</v>
      </c>
      <c r="Z1126" s="9">
        <f t="shared" si="86"/>
        <v>0</v>
      </c>
      <c r="AD1126" s="9">
        <f t="shared" si="87"/>
        <v>0</v>
      </c>
    </row>
    <row r="1127" spans="3:30" x14ac:dyDescent="0.4">
      <c r="C1127" t="str">
        <f t="shared" si="84"/>
        <v/>
      </c>
      <c r="T1127" s="9">
        <f t="shared" si="85"/>
        <v>0</v>
      </c>
      <c r="Z1127" s="9">
        <f t="shared" si="86"/>
        <v>0</v>
      </c>
      <c r="AD1127" s="9">
        <f t="shared" si="87"/>
        <v>0</v>
      </c>
    </row>
    <row r="1128" spans="3:30" x14ac:dyDescent="0.4">
      <c r="C1128" t="str">
        <f t="shared" si="84"/>
        <v/>
      </c>
      <c r="T1128" s="9">
        <f t="shared" si="85"/>
        <v>0</v>
      </c>
      <c r="Z1128" s="9">
        <f t="shared" si="86"/>
        <v>0</v>
      </c>
      <c r="AD1128" s="9">
        <f t="shared" si="87"/>
        <v>0</v>
      </c>
    </row>
    <row r="1129" spans="3:30" x14ac:dyDescent="0.4">
      <c r="C1129" t="str">
        <f t="shared" si="84"/>
        <v/>
      </c>
      <c r="T1129" s="9">
        <f t="shared" si="85"/>
        <v>0</v>
      </c>
      <c r="Z1129" s="9">
        <f t="shared" si="86"/>
        <v>0</v>
      </c>
      <c r="AD1129" s="9">
        <f t="shared" si="87"/>
        <v>0</v>
      </c>
    </row>
    <row r="1130" spans="3:30" x14ac:dyDescent="0.4">
      <c r="C1130" t="str">
        <f t="shared" si="84"/>
        <v/>
      </c>
      <c r="T1130" s="9">
        <f t="shared" si="85"/>
        <v>0</v>
      </c>
      <c r="Z1130" s="9">
        <f t="shared" si="86"/>
        <v>0</v>
      </c>
      <c r="AD1130" s="9">
        <f t="shared" si="87"/>
        <v>0</v>
      </c>
    </row>
    <row r="1131" spans="3:30" x14ac:dyDescent="0.4">
      <c r="C1131" t="str">
        <f t="shared" si="84"/>
        <v/>
      </c>
      <c r="T1131" s="9">
        <f t="shared" si="85"/>
        <v>0</v>
      </c>
      <c r="Z1131" s="9">
        <f t="shared" si="86"/>
        <v>0</v>
      </c>
      <c r="AD1131" s="9">
        <f t="shared" si="87"/>
        <v>0</v>
      </c>
    </row>
    <row r="1132" spans="3:30" x14ac:dyDescent="0.4">
      <c r="C1132" t="str">
        <f t="shared" si="84"/>
        <v/>
      </c>
      <c r="T1132" s="9">
        <f t="shared" si="85"/>
        <v>0</v>
      </c>
      <c r="Z1132" s="9">
        <f t="shared" si="86"/>
        <v>0</v>
      </c>
      <c r="AD1132" s="9">
        <f t="shared" si="87"/>
        <v>0</v>
      </c>
    </row>
    <row r="1133" spans="3:30" x14ac:dyDescent="0.4">
      <c r="C1133" t="str">
        <f t="shared" si="84"/>
        <v/>
      </c>
      <c r="T1133" s="9">
        <f t="shared" si="85"/>
        <v>0</v>
      </c>
      <c r="Z1133" s="9">
        <f t="shared" si="86"/>
        <v>0</v>
      </c>
      <c r="AD1133" s="9">
        <f t="shared" si="87"/>
        <v>0</v>
      </c>
    </row>
    <row r="1134" spans="3:30" x14ac:dyDescent="0.4">
      <c r="C1134" t="str">
        <f t="shared" si="84"/>
        <v/>
      </c>
      <c r="T1134" s="9">
        <f t="shared" si="85"/>
        <v>0</v>
      </c>
      <c r="Z1134" s="9">
        <f t="shared" si="86"/>
        <v>0</v>
      </c>
      <c r="AD1134" s="9">
        <f t="shared" si="87"/>
        <v>0</v>
      </c>
    </row>
    <row r="1135" spans="3:30" x14ac:dyDescent="0.4">
      <c r="C1135" t="str">
        <f t="shared" si="84"/>
        <v/>
      </c>
      <c r="T1135" s="9">
        <f t="shared" si="85"/>
        <v>0</v>
      </c>
      <c r="Z1135" s="9">
        <f t="shared" si="86"/>
        <v>0</v>
      </c>
      <c r="AD1135" s="9">
        <f t="shared" si="87"/>
        <v>0</v>
      </c>
    </row>
    <row r="1136" spans="3:30" x14ac:dyDescent="0.4">
      <c r="C1136" t="str">
        <f t="shared" si="84"/>
        <v/>
      </c>
      <c r="T1136" s="9">
        <f t="shared" si="85"/>
        <v>0</v>
      </c>
      <c r="Z1136" s="9">
        <f t="shared" si="86"/>
        <v>0</v>
      </c>
      <c r="AD1136" s="9">
        <f t="shared" si="87"/>
        <v>0</v>
      </c>
    </row>
    <row r="1137" spans="3:30" x14ac:dyDescent="0.4">
      <c r="C1137" t="str">
        <f t="shared" si="84"/>
        <v/>
      </c>
      <c r="T1137" s="9">
        <f t="shared" si="85"/>
        <v>0</v>
      </c>
      <c r="Z1137" s="9">
        <f t="shared" si="86"/>
        <v>0</v>
      </c>
      <c r="AD1137" s="9">
        <f t="shared" si="87"/>
        <v>0</v>
      </c>
    </row>
    <row r="1138" spans="3:30" x14ac:dyDescent="0.4">
      <c r="C1138" t="str">
        <f t="shared" si="84"/>
        <v/>
      </c>
      <c r="T1138" s="9">
        <f t="shared" si="85"/>
        <v>0</v>
      </c>
      <c r="Z1138" s="9">
        <f t="shared" si="86"/>
        <v>0</v>
      </c>
      <c r="AD1138" s="9">
        <f t="shared" si="87"/>
        <v>0</v>
      </c>
    </row>
    <row r="1139" spans="3:30" x14ac:dyDescent="0.4">
      <c r="C1139" t="str">
        <f t="shared" si="84"/>
        <v/>
      </c>
      <c r="T1139" s="9">
        <f t="shared" si="85"/>
        <v>0</v>
      </c>
      <c r="Z1139" s="9">
        <f t="shared" si="86"/>
        <v>0</v>
      </c>
      <c r="AD1139" s="9">
        <f t="shared" si="87"/>
        <v>0</v>
      </c>
    </row>
    <row r="1140" spans="3:30" x14ac:dyDescent="0.4">
      <c r="C1140" t="str">
        <f t="shared" si="84"/>
        <v/>
      </c>
      <c r="T1140" s="9">
        <f t="shared" si="85"/>
        <v>0</v>
      </c>
      <c r="Z1140" s="9">
        <f t="shared" si="86"/>
        <v>0</v>
      </c>
      <c r="AD1140" s="9">
        <f t="shared" si="87"/>
        <v>0</v>
      </c>
    </row>
    <row r="1141" spans="3:30" x14ac:dyDescent="0.4">
      <c r="C1141" t="str">
        <f t="shared" si="84"/>
        <v/>
      </c>
      <c r="T1141" s="9">
        <f t="shared" si="85"/>
        <v>0</v>
      </c>
      <c r="Z1141" s="9">
        <f t="shared" si="86"/>
        <v>0</v>
      </c>
      <c r="AD1141" s="9">
        <f t="shared" si="87"/>
        <v>0</v>
      </c>
    </row>
    <row r="1142" spans="3:30" x14ac:dyDescent="0.4">
      <c r="C1142" t="str">
        <f t="shared" si="84"/>
        <v/>
      </c>
      <c r="T1142" s="9">
        <f t="shared" si="85"/>
        <v>0</v>
      </c>
      <c r="Z1142" s="9">
        <f t="shared" si="86"/>
        <v>0</v>
      </c>
      <c r="AD1142" s="9">
        <f t="shared" si="87"/>
        <v>0</v>
      </c>
    </row>
    <row r="1143" spans="3:30" x14ac:dyDescent="0.4">
      <c r="C1143" t="str">
        <f t="shared" si="84"/>
        <v/>
      </c>
      <c r="T1143" s="9">
        <f t="shared" si="85"/>
        <v>0</v>
      </c>
      <c r="Z1143" s="9">
        <f t="shared" si="86"/>
        <v>0</v>
      </c>
      <c r="AD1143" s="9">
        <f t="shared" si="87"/>
        <v>0</v>
      </c>
    </row>
    <row r="1144" spans="3:30" x14ac:dyDescent="0.4">
      <c r="C1144" t="str">
        <f t="shared" si="84"/>
        <v/>
      </c>
      <c r="T1144" s="9">
        <f t="shared" si="85"/>
        <v>0</v>
      </c>
      <c r="Z1144" s="9">
        <f t="shared" si="86"/>
        <v>0</v>
      </c>
      <c r="AD1144" s="9">
        <f t="shared" si="87"/>
        <v>0</v>
      </c>
    </row>
    <row r="1145" spans="3:30" x14ac:dyDescent="0.4">
      <c r="C1145" t="str">
        <f t="shared" si="84"/>
        <v/>
      </c>
      <c r="T1145" s="9">
        <f t="shared" si="85"/>
        <v>0</v>
      </c>
      <c r="Z1145" s="9">
        <f t="shared" si="86"/>
        <v>0</v>
      </c>
      <c r="AD1145" s="9">
        <f t="shared" si="87"/>
        <v>0</v>
      </c>
    </row>
    <row r="1146" spans="3:30" x14ac:dyDescent="0.4">
      <c r="C1146" t="str">
        <f t="shared" si="84"/>
        <v/>
      </c>
      <c r="T1146" s="9">
        <f t="shared" si="85"/>
        <v>0</v>
      </c>
      <c r="Z1146" s="9">
        <f t="shared" si="86"/>
        <v>0</v>
      </c>
      <c r="AD1146" s="9">
        <f t="shared" si="87"/>
        <v>0</v>
      </c>
    </row>
    <row r="1147" spans="3:30" x14ac:dyDescent="0.4">
      <c r="C1147" t="str">
        <f t="shared" si="84"/>
        <v/>
      </c>
      <c r="T1147" s="9">
        <f t="shared" si="85"/>
        <v>0</v>
      </c>
      <c r="Z1147" s="9">
        <f t="shared" si="86"/>
        <v>0</v>
      </c>
      <c r="AD1147" s="9">
        <f t="shared" si="87"/>
        <v>0</v>
      </c>
    </row>
    <row r="1148" spans="3:30" x14ac:dyDescent="0.4">
      <c r="C1148" t="str">
        <f t="shared" si="84"/>
        <v/>
      </c>
      <c r="T1148" s="9">
        <f t="shared" si="85"/>
        <v>0</v>
      </c>
      <c r="Z1148" s="9">
        <f t="shared" si="86"/>
        <v>0</v>
      </c>
      <c r="AD1148" s="9">
        <f t="shared" si="87"/>
        <v>0</v>
      </c>
    </row>
    <row r="1149" spans="3:30" x14ac:dyDescent="0.4">
      <c r="C1149" t="str">
        <f t="shared" si="84"/>
        <v/>
      </c>
      <c r="T1149" s="9">
        <f t="shared" si="85"/>
        <v>0</v>
      </c>
      <c r="Z1149" s="9">
        <f t="shared" si="86"/>
        <v>0</v>
      </c>
      <c r="AD1149" s="9">
        <f t="shared" si="87"/>
        <v>0</v>
      </c>
    </row>
    <row r="1150" spans="3:30" x14ac:dyDescent="0.4">
      <c r="C1150" t="str">
        <f t="shared" si="84"/>
        <v/>
      </c>
      <c r="T1150" s="9">
        <f t="shared" si="85"/>
        <v>0</v>
      </c>
      <c r="Z1150" s="9">
        <f t="shared" si="86"/>
        <v>0</v>
      </c>
      <c r="AD1150" s="9">
        <f t="shared" si="87"/>
        <v>0</v>
      </c>
    </row>
    <row r="1151" spans="3:30" x14ac:dyDescent="0.4">
      <c r="C1151" t="str">
        <f t="shared" si="84"/>
        <v/>
      </c>
      <c r="T1151" s="9">
        <f t="shared" si="85"/>
        <v>0</v>
      </c>
      <c r="Z1151" s="9">
        <f t="shared" si="86"/>
        <v>0</v>
      </c>
      <c r="AD1151" s="9">
        <f t="shared" si="87"/>
        <v>0</v>
      </c>
    </row>
    <row r="1152" spans="3:30" x14ac:dyDescent="0.4">
      <c r="C1152" t="str">
        <f t="shared" si="84"/>
        <v/>
      </c>
      <c r="T1152" s="9">
        <f t="shared" si="85"/>
        <v>0</v>
      </c>
      <c r="Z1152" s="9">
        <f t="shared" si="86"/>
        <v>0</v>
      </c>
      <c r="AD1152" s="9">
        <f t="shared" si="87"/>
        <v>0</v>
      </c>
    </row>
    <row r="1153" spans="3:30" x14ac:dyDescent="0.4">
      <c r="C1153" t="str">
        <f t="shared" si="84"/>
        <v/>
      </c>
      <c r="T1153" s="9">
        <f t="shared" si="85"/>
        <v>0</v>
      </c>
      <c r="Z1153" s="9">
        <f t="shared" si="86"/>
        <v>0</v>
      </c>
      <c r="AD1153" s="9">
        <f t="shared" si="87"/>
        <v>0</v>
      </c>
    </row>
    <row r="1154" spans="3:30" x14ac:dyDescent="0.4">
      <c r="C1154" t="str">
        <f t="shared" si="84"/>
        <v/>
      </c>
      <c r="T1154" s="9">
        <f t="shared" si="85"/>
        <v>0</v>
      </c>
      <c r="Z1154" s="9">
        <f t="shared" si="86"/>
        <v>0</v>
      </c>
      <c r="AD1154" s="9">
        <f t="shared" si="87"/>
        <v>0</v>
      </c>
    </row>
    <row r="1155" spans="3:30" x14ac:dyDescent="0.4">
      <c r="C1155" t="str">
        <f t="shared" ref="C1155:C1218" si="88">IF(A1155="","",$J$1&amp;"\"&amp;A1155)</f>
        <v/>
      </c>
      <c r="T1155" s="9">
        <f t="shared" si="85"/>
        <v>0</v>
      </c>
      <c r="Z1155" s="9">
        <f t="shared" si="86"/>
        <v>0</v>
      </c>
      <c r="AD1155" s="9">
        <f t="shared" si="87"/>
        <v>0</v>
      </c>
    </row>
    <row r="1156" spans="3:30" x14ac:dyDescent="0.4">
      <c r="C1156" t="str">
        <f t="shared" si="88"/>
        <v/>
      </c>
      <c r="T1156" s="9">
        <f t="shared" si="85"/>
        <v>0</v>
      </c>
      <c r="Z1156" s="9">
        <f t="shared" si="86"/>
        <v>0</v>
      </c>
      <c r="AD1156" s="9">
        <f t="shared" si="87"/>
        <v>0</v>
      </c>
    </row>
    <row r="1157" spans="3:30" x14ac:dyDescent="0.4">
      <c r="C1157" t="str">
        <f t="shared" si="88"/>
        <v/>
      </c>
      <c r="T1157" s="9">
        <f t="shared" si="85"/>
        <v>0</v>
      </c>
      <c r="Z1157" s="9">
        <f t="shared" si="86"/>
        <v>0</v>
      </c>
      <c r="AD1157" s="9">
        <f t="shared" si="87"/>
        <v>0</v>
      </c>
    </row>
    <row r="1158" spans="3:30" x14ac:dyDescent="0.4">
      <c r="C1158" t="str">
        <f t="shared" si="88"/>
        <v/>
      </c>
      <c r="T1158" s="9">
        <f t="shared" si="85"/>
        <v>0</v>
      </c>
      <c r="Z1158" s="9">
        <f t="shared" si="86"/>
        <v>0</v>
      </c>
      <c r="AD1158" s="9">
        <f t="shared" si="87"/>
        <v>0</v>
      </c>
    </row>
    <row r="1159" spans="3:30" x14ac:dyDescent="0.4">
      <c r="C1159" t="str">
        <f t="shared" si="88"/>
        <v/>
      </c>
      <c r="T1159" s="9">
        <f t="shared" si="85"/>
        <v>0</v>
      </c>
      <c r="Z1159" s="9">
        <f t="shared" si="86"/>
        <v>0</v>
      </c>
      <c r="AD1159" s="9">
        <f t="shared" si="87"/>
        <v>0</v>
      </c>
    </row>
    <row r="1160" spans="3:30" x14ac:dyDescent="0.4">
      <c r="C1160" t="str">
        <f t="shared" si="88"/>
        <v/>
      </c>
      <c r="T1160" s="9">
        <f t="shared" ref="T1160:T1223" si="89">(COUNTIFS(TH_TK,N1160,TH_DuNo,O1160,TH_DuNoNT,P1160,TH_DuCo,Q1160,TH_DuCoNT,R1160,TH_SoLuong,S1160)&gt;0)*1</f>
        <v>0</v>
      </c>
      <c r="Z1160" s="9">
        <f t="shared" ref="Z1160:Z1223" si="90">(COUNTIFS(NV,U1160,TK,V1160,TongNo,W1160,TongCo,X1160,SoLuong,Y1160)&gt;0)*1</f>
        <v>0</v>
      </c>
      <c r="AD1160" s="9">
        <f t="shared" ref="AD1160:AD1223" si="91">COUNTIFS(ReportType,AA1160,ItemCode,AB1160,Amount,AC1160)</f>
        <v>0</v>
      </c>
    </row>
    <row r="1161" spans="3:30" x14ac:dyDescent="0.4">
      <c r="C1161" t="str">
        <f t="shared" si="88"/>
        <v/>
      </c>
      <c r="T1161" s="9">
        <f t="shared" si="89"/>
        <v>0</v>
      </c>
      <c r="Z1161" s="9">
        <f t="shared" si="90"/>
        <v>0</v>
      </c>
      <c r="AD1161" s="9">
        <f t="shared" si="91"/>
        <v>0</v>
      </c>
    </row>
    <row r="1162" spans="3:30" x14ac:dyDescent="0.4">
      <c r="C1162" t="str">
        <f t="shared" si="88"/>
        <v/>
      </c>
      <c r="T1162" s="9">
        <f t="shared" si="89"/>
        <v>0</v>
      </c>
      <c r="Z1162" s="9">
        <f t="shared" si="90"/>
        <v>0</v>
      </c>
      <c r="AD1162" s="9">
        <f t="shared" si="91"/>
        <v>0</v>
      </c>
    </row>
    <row r="1163" spans="3:30" x14ac:dyDescent="0.4">
      <c r="C1163" t="str">
        <f t="shared" si="88"/>
        <v/>
      </c>
      <c r="T1163" s="9">
        <f t="shared" si="89"/>
        <v>0</v>
      </c>
      <c r="Z1163" s="9">
        <f t="shared" si="90"/>
        <v>0</v>
      </c>
      <c r="AD1163" s="9">
        <f t="shared" si="91"/>
        <v>0</v>
      </c>
    </row>
    <row r="1164" spans="3:30" x14ac:dyDescent="0.4">
      <c r="C1164" t="str">
        <f t="shared" si="88"/>
        <v/>
      </c>
      <c r="T1164" s="9">
        <f t="shared" si="89"/>
        <v>0</v>
      </c>
      <c r="Z1164" s="9">
        <f t="shared" si="90"/>
        <v>0</v>
      </c>
      <c r="AD1164" s="9">
        <f t="shared" si="91"/>
        <v>0</v>
      </c>
    </row>
    <row r="1165" spans="3:30" x14ac:dyDescent="0.4">
      <c r="C1165" t="str">
        <f t="shared" si="88"/>
        <v/>
      </c>
      <c r="T1165" s="9">
        <f t="shared" si="89"/>
        <v>0</v>
      </c>
      <c r="Z1165" s="9">
        <f t="shared" si="90"/>
        <v>0</v>
      </c>
      <c r="AD1165" s="9">
        <f t="shared" si="91"/>
        <v>0</v>
      </c>
    </row>
    <row r="1166" spans="3:30" x14ac:dyDescent="0.4">
      <c r="C1166" t="str">
        <f t="shared" si="88"/>
        <v/>
      </c>
      <c r="T1166" s="9">
        <f t="shared" si="89"/>
        <v>0</v>
      </c>
      <c r="Z1166" s="9">
        <f t="shared" si="90"/>
        <v>0</v>
      </c>
      <c r="AD1166" s="9">
        <f t="shared" si="91"/>
        <v>0</v>
      </c>
    </row>
    <row r="1167" spans="3:30" x14ac:dyDescent="0.4">
      <c r="C1167" t="str">
        <f t="shared" si="88"/>
        <v/>
      </c>
      <c r="T1167" s="9">
        <f t="shared" si="89"/>
        <v>0</v>
      </c>
      <c r="Z1167" s="9">
        <f t="shared" si="90"/>
        <v>0</v>
      </c>
      <c r="AD1167" s="9">
        <f t="shared" si="91"/>
        <v>0</v>
      </c>
    </row>
    <row r="1168" spans="3:30" x14ac:dyDescent="0.4">
      <c r="C1168" t="str">
        <f t="shared" si="88"/>
        <v/>
      </c>
      <c r="T1168" s="9">
        <f t="shared" si="89"/>
        <v>0</v>
      </c>
      <c r="Z1168" s="9">
        <f t="shared" si="90"/>
        <v>0</v>
      </c>
      <c r="AD1168" s="9">
        <f t="shared" si="91"/>
        <v>0</v>
      </c>
    </row>
    <row r="1169" spans="3:30" x14ac:dyDescent="0.4">
      <c r="C1169" t="str">
        <f t="shared" si="88"/>
        <v/>
      </c>
      <c r="T1169" s="9">
        <f t="shared" si="89"/>
        <v>0</v>
      </c>
      <c r="Z1169" s="9">
        <f t="shared" si="90"/>
        <v>0</v>
      </c>
      <c r="AD1169" s="9">
        <f t="shared" si="91"/>
        <v>0</v>
      </c>
    </row>
    <row r="1170" spans="3:30" x14ac:dyDescent="0.4">
      <c r="C1170" t="str">
        <f t="shared" si="88"/>
        <v/>
      </c>
      <c r="T1170" s="9">
        <f t="shared" si="89"/>
        <v>0</v>
      </c>
      <c r="Z1170" s="9">
        <f t="shared" si="90"/>
        <v>0</v>
      </c>
      <c r="AD1170" s="9">
        <f t="shared" si="91"/>
        <v>0</v>
      </c>
    </row>
    <row r="1171" spans="3:30" x14ac:dyDescent="0.4">
      <c r="C1171" t="str">
        <f t="shared" si="88"/>
        <v/>
      </c>
      <c r="T1171" s="9">
        <f t="shared" si="89"/>
        <v>0</v>
      </c>
      <c r="Z1171" s="9">
        <f t="shared" si="90"/>
        <v>0</v>
      </c>
      <c r="AD1171" s="9">
        <f t="shared" si="91"/>
        <v>0</v>
      </c>
    </row>
    <row r="1172" spans="3:30" x14ac:dyDescent="0.4">
      <c r="C1172" t="str">
        <f t="shared" si="88"/>
        <v/>
      </c>
      <c r="T1172" s="9">
        <f t="shared" si="89"/>
        <v>0</v>
      </c>
      <c r="Z1172" s="9">
        <f t="shared" si="90"/>
        <v>0</v>
      </c>
      <c r="AD1172" s="9">
        <f t="shared" si="91"/>
        <v>0</v>
      </c>
    </row>
    <row r="1173" spans="3:30" x14ac:dyDescent="0.4">
      <c r="C1173" t="str">
        <f t="shared" si="88"/>
        <v/>
      </c>
      <c r="T1173" s="9">
        <f t="shared" si="89"/>
        <v>0</v>
      </c>
      <c r="Z1173" s="9">
        <f t="shared" si="90"/>
        <v>0</v>
      </c>
      <c r="AD1173" s="9">
        <f t="shared" si="91"/>
        <v>0</v>
      </c>
    </row>
    <row r="1174" spans="3:30" x14ac:dyDescent="0.4">
      <c r="C1174" t="str">
        <f t="shared" si="88"/>
        <v/>
      </c>
      <c r="T1174" s="9">
        <f t="shared" si="89"/>
        <v>0</v>
      </c>
      <c r="Z1174" s="9">
        <f t="shared" si="90"/>
        <v>0</v>
      </c>
      <c r="AD1174" s="9">
        <f t="shared" si="91"/>
        <v>0</v>
      </c>
    </row>
    <row r="1175" spans="3:30" x14ac:dyDescent="0.4">
      <c r="C1175" t="str">
        <f t="shared" si="88"/>
        <v/>
      </c>
      <c r="T1175" s="9">
        <f t="shared" si="89"/>
        <v>0</v>
      </c>
      <c r="Z1175" s="9">
        <f t="shared" si="90"/>
        <v>0</v>
      </c>
      <c r="AD1175" s="9">
        <f t="shared" si="91"/>
        <v>0</v>
      </c>
    </row>
    <row r="1176" spans="3:30" x14ac:dyDescent="0.4">
      <c r="C1176" t="str">
        <f t="shared" si="88"/>
        <v/>
      </c>
      <c r="T1176" s="9">
        <f t="shared" si="89"/>
        <v>0</v>
      </c>
      <c r="Z1176" s="9">
        <f t="shared" si="90"/>
        <v>0</v>
      </c>
      <c r="AD1176" s="9">
        <f t="shared" si="91"/>
        <v>0</v>
      </c>
    </row>
    <row r="1177" spans="3:30" x14ac:dyDescent="0.4">
      <c r="C1177" t="str">
        <f t="shared" si="88"/>
        <v/>
      </c>
      <c r="T1177" s="9">
        <f t="shared" si="89"/>
        <v>0</v>
      </c>
      <c r="Z1177" s="9">
        <f t="shared" si="90"/>
        <v>0</v>
      </c>
      <c r="AD1177" s="9">
        <f t="shared" si="91"/>
        <v>0</v>
      </c>
    </row>
    <row r="1178" spans="3:30" x14ac:dyDescent="0.4">
      <c r="C1178" t="str">
        <f t="shared" si="88"/>
        <v/>
      </c>
      <c r="T1178" s="9">
        <f t="shared" si="89"/>
        <v>0</v>
      </c>
      <c r="Z1178" s="9">
        <f t="shared" si="90"/>
        <v>0</v>
      </c>
      <c r="AD1178" s="9">
        <f t="shared" si="91"/>
        <v>0</v>
      </c>
    </row>
    <row r="1179" spans="3:30" x14ac:dyDescent="0.4">
      <c r="C1179" t="str">
        <f t="shared" si="88"/>
        <v/>
      </c>
      <c r="T1179" s="9">
        <f t="shared" si="89"/>
        <v>0</v>
      </c>
      <c r="Z1179" s="9">
        <f t="shared" si="90"/>
        <v>0</v>
      </c>
      <c r="AD1179" s="9">
        <f t="shared" si="91"/>
        <v>0</v>
      </c>
    </row>
    <row r="1180" spans="3:30" x14ac:dyDescent="0.4">
      <c r="C1180" t="str">
        <f t="shared" si="88"/>
        <v/>
      </c>
      <c r="T1180" s="9">
        <f t="shared" si="89"/>
        <v>0</v>
      </c>
      <c r="Z1180" s="9">
        <f t="shared" si="90"/>
        <v>0</v>
      </c>
      <c r="AD1180" s="9">
        <f t="shared" si="91"/>
        <v>0</v>
      </c>
    </row>
    <row r="1181" spans="3:30" x14ac:dyDescent="0.4">
      <c r="C1181" t="str">
        <f t="shared" si="88"/>
        <v/>
      </c>
      <c r="T1181" s="9">
        <f t="shared" si="89"/>
        <v>0</v>
      </c>
      <c r="Z1181" s="9">
        <f t="shared" si="90"/>
        <v>0</v>
      </c>
      <c r="AD1181" s="9">
        <f t="shared" si="91"/>
        <v>0</v>
      </c>
    </row>
    <row r="1182" spans="3:30" x14ac:dyDescent="0.4">
      <c r="C1182" t="str">
        <f t="shared" si="88"/>
        <v/>
      </c>
      <c r="T1182" s="9">
        <f t="shared" si="89"/>
        <v>0</v>
      </c>
      <c r="Z1182" s="9">
        <f t="shared" si="90"/>
        <v>0</v>
      </c>
      <c r="AD1182" s="9">
        <f t="shared" si="91"/>
        <v>0</v>
      </c>
    </row>
    <row r="1183" spans="3:30" x14ac:dyDescent="0.4">
      <c r="C1183" t="str">
        <f t="shared" si="88"/>
        <v/>
      </c>
      <c r="T1183" s="9">
        <f t="shared" si="89"/>
        <v>0</v>
      </c>
      <c r="Z1183" s="9">
        <f t="shared" si="90"/>
        <v>0</v>
      </c>
      <c r="AD1183" s="9">
        <f t="shared" si="91"/>
        <v>0</v>
      </c>
    </row>
    <row r="1184" spans="3:30" x14ac:dyDescent="0.4">
      <c r="C1184" t="str">
        <f t="shared" si="88"/>
        <v/>
      </c>
      <c r="T1184" s="9">
        <f t="shared" si="89"/>
        <v>0</v>
      </c>
      <c r="Z1184" s="9">
        <f t="shared" si="90"/>
        <v>0</v>
      </c>
      <c r="AD1184" s="9">
        <f t="shared" si="91"/>
        <v>0</v>
      </c>
    </row>
    <row r="1185" spans="3:30" x14ac:dyDescent="0.4">
      <c r="C1185" t="str">
        <f t="shared" si="88"/>
        <v/>
      </c>
      <c r="T1185" s="9">
        <f t="shared" si="89"/>
        <v>0</v>
      </c>
      <c r="Z1185" s="9">
        <f t="shared" si="90"/>
        <v>0</v>
      </c>
      <c r="AD1185" s="9">
        <f t="shared" si="91"/>
        <v>0</v>
      </c>
    </row>
    <row r="1186" spans="3:30" x14ac:dyDescent="0.4">
      <c r="C1186" t="str">
        <f t="shared" si="88"/>
        <v/>
      </c>
      <c r="T1186" s="9">
        <f t="shared" si="89"/>
        <v>0</v>
      </c>
      <c r="Z1186" s="9">
        <f t="shared" si="90"/>
        <v>0</v>
      </c>
      <c r="AD1186" s="9">
        <f t="shared" si="91"/>
        <v>0</v>
      </c>
    </row>
    <row r="1187" spans="3:30" x14ac:dyDescent="0.4">
      <c r="C1187" t="str">
        <f t="shared" si="88"/>
        <v/>
      </c>
      <c r="T1187" s="9">
        <f t="shared" si="89"/>
        <v>0</v>
      </c>
      <c r="Z1187" s="9">
        <f t="shared" si="90"/>
        <v>0</v>
      </c>
      <c r="AD1187" s="9">
        <f t="shared" si="91"/>
        <v>0</v>
      </c>
    </row>
    <row r="1188" spans="3:30" x14ac:dyDescent="0.4">
      <c r="C1188" t="str">
        <f t="shared" si="88"/>
        <v/>
      </c>
      <c r="T1188" s="9">
        <f t="shared" si="89"/>
        <v>0</v>
      </c>
      <c r="Z1188" s="9">
        <f t="shared" si="90"/>
        <v>0</v>
      </c>
      <c r="AD1188" s="9">
        <f t="shared" si="91"/>
        <v>0</v>
      </c>
    </row>
    <row r="1189" spans="3:30" x14ac:dyDescent="0.4">
      <c r="C1189" t="str">
        <f t="shared" si="88"/>
        <v/>
      </c>
      <c r="T1189" s="9">
        <f t="shared" si="89"/>
        <v>0</v>
      </c>
      <c r="Z1189" s="9">
        <f t="shared" si="90"/>
        <v>0</v>
      </c>
      <c r="AD1189" s="9">
        <f t="shared" si="91"/>
        <v>0</v>
      </c>
    </row>
    <row r="1190" spans="3:30" x14ac:dyDescent="0.4">
      <c r="C1190" t="str">
        <f t="shared" si="88"/>
        <v/>
      </c>
      <c r="T1190" s="9">
        <f t="shared" si="89"/>
        <v>0</v>
      </c>
      <c r="Z1190" s="9">
        <f t="shared" si="90"/>
        <v>0</v>
      </c>
      <c r="AD1190" s="9">
        <f t="shared" si="91"/>
        <v>0</v>
      </c>
    </row>
    <row r="1191" spans="3:30" x14ac:dyDescent="0.4">
      <c r="C1191" t="str">
        <f t="shared" si="88"/>
        <v/>
      </c>
      <c r="T1191" s="9">
        <f t="shared" si="89"/>
        <v>0</v>
      </c>
      <c r="Z1191" s="9">
        <f t="shared" si="90"/>
        <v>0</v>
      </c>
      <c r="AD1191" s="9">
        <f t="shared" si="91"/>
        <v>0</v>
      </c>
    </row>
    <row r="1192" spans="3:30" x14ac:dyDescent="0.4">
      <c r="C1192" t="str">
        <f t="shared" si="88"/>
        <v/>
      </c>
      <c r="T1192" s="9">
        <f t="shared" si="89"/>
        <v>0</v>
      </c>
      <c r="Z1192" s="9">
        <f t="shared" si="90"/>
        <v>0</v>
      </c>
      <c r="AD1192" s="9">
        <f t="shared" si="91"/>
        <v>0</v>
      </c>
    </row>
    <row r="1193" spans="3:30" x14ac:dyDescent="0.4">
      <c r="C1193" t="str">
        <f t="shared" si="88"/>
        <v/>
      </c>
      <c r="T1193" s="9">
        <f t="shared" si="89"/>
        <v>0</v>
      </c>
      <c r="Z1193" s="9">
        <f t="shared" si="90"/>
        <v>0</v>
      </c>
      <c r="AD1193" s="9">
        <f t="shared" si="91"/>
        <v>0</v>
      </c>
    </row>
    <row r="1194" spans="3:30" x14ac:dyDescent="0.4">
      <c r="C1194" t="str">
        <f t="shared" si="88"/>
        <v/>
      </c>
      <c r="T1194" s="9">
        <f t="shared" si="89"/>
        <v>0</v>
      </c>
      <c r="Z1194" s="9">
        <f t="shared" si="90"/>
        <v>0</v>
      </c>
      <c r="AD1194" s="9">
        <f t="shared" si="91"/>
        <v>0</v>
      </c>
    </row>
    <row r="1195" spans="3:30" x14ac:dyDescent="0.4">
      <c r="C1195" t="str">
        <f t="shared" si="88"/>
        <v/>
      </c>
      <c r="T1195" s="9">
        <f t="shared" si="89"/>
        <v>0</v>
      </c>
      <c r="Z1195" s="9">
        <f t="shared" si="90"/>
        <v>0</v>
      </c>
      <c r="AD1195" s="9">
        <f t="shared" si="91"/>
        <v>0</v>
      </c>
    </row>
    <row r="1196" spans="3:30" x14ac:dyDescent="0.4">
      <c r="C1196" t="str">
        <f t="shared" si="88"/>
        <v/>
      </c>
      <c r="T1196" s="9">
        <f t="shared" si="89"/>
        <v>0</v>
      </c>
      <c r="Z1196" s="9">
        <f t="shared" si="90"/>
        <v>0</v>
      </c>
      <c r="AD1196" s="9">
        <f t="shared" si="91"/>
        <v>0</v>
      </c>
    </row>
    <row r="1197" spans="3:30" x14ac:dyDescent="0.4">
      <c r="C1197" t="str">
        <f t="shared" si="88"/>
        <v/>
      </c>
      <c r="T1197" s="9">
        <f t="shared" si="89"/>
        <v>0</v>
      </c>
      <c r="Z1197" s="9">
        <f t="shared" si="90"/>
        <v>0</v>
      </c>
      <c r="AD1197" s="9">
        <f t="shared" si="91"/>
        <v>0</v>
      </c>
    </row>
    <row r="1198" spans="3:30" x14ac:dyDescent="0.4">
      <c r="C1198" t="str">
        <f t="shared" si="88"/>
        <v/>
      </c>
      <c r="T1198" s="9">
        <f t="shared" si="89"/>
        <v>0</v>
      </c>
      <c r="Z1198" s="9">
        <f t="shared" si="90"/>
        <v>0</v>
      </c>
      <c r="AD1198" s="9">
        <f t="shared" si="91"/>
        <v>0</v>
      </c>
    </row>
    <row r="1199" spans="3:30" x14ac:dyDescent="0.4">
      <c r="C1199" t="str">
        <f t="shared" si="88"/>
        <v/>
      </c>
      <c r="T1199" s="9">
        <f t="shared" si="89"/>
        <v>0</v>
      </c>
      <c r="Z1199" s="9">
        <f t="shared" si="90"/>
        <v>0</v>
      </c>
      <c r="AD1199" s="9">
        <f t="shared" si="91"/>
        <v>0</v>
      </c>
    </row>
    <row r="1200" spans="3:30" x14ac:dyDescent="0.4">
      <c r="C1200" t="str">
        <f t="shared" si="88"/>
        <v/>
      </c>
      <c r="T1200" s="9">
        <f t="shared" si="89"/>
        <v>0</v>
      </c>
      <c r="Z1200" s="9">
        <f t="shared" si="90"/>
        <v>0</v>
      </c>
      <c r="AD1200" s="9">
        <f t="shared" si="91"/>
        <v>0</v>
      </c>
    </row>
    <row r="1201" spans="3:30" x14ac:dyDescent="0.4">
      <c r="C1201" t="str">
        <f t="shared" si="88"/>
        <v/>
      </c>
      <c r="T1201" s="9">
        <f t="shared" si="89"/>
        <v>0</v>
      </c>
      <c r="Z1201" s="9">
        <f t="shared" si="90"/>
        <v>0</v>
      </c>
      <c r="AD1201" s="9">
        <f t="shared" si="91"/>
        <v>0</v>
      </c>
    </row>
    <row r="1202" spans="3:30" x14ac:dyDescent="0.4">
      <c r="C1202" t="str">
        <f t="shared" si="88"/>
        <v/>
      </c>
      <c r="T1202" s="9">
        <f t="shared" si="89"/>
        <v>0</v>
      </c>
      <c r="Z1202" s="9">
        <f t="shared" si="90"/>
        <v>0</v>
      </c>
      <c r="AD1202" s="9">
        <f t="shared" si="91"/>
        <v>0</v>
      </c>
    </row>
    <row r="1203" spans="3:30" x14ac:dyDescent="0.4">
      <c r="C1203" t="str">
        <f t="shared" si="88"/>
        <v/>
      </c>
      <c r="T1203" s="9">
        <f t="shared" si="89"/>
        <v>0</v>
      </c>
      <c r="Z1203" s="9">
        <f t="shared" si="90"/>
        <v>0</v>
      </c>
      <c r="AD1203" s="9">
        <f t="shared" si="91"/>
        <v>0</v>
      </c>
    </row>
    <row r="1204" spans="3:30" x14ac:dyDescent="0.4">
      <c r="C1204" t="str">
        <f t="shared" si="88"/>
        <v/>
      </c>
      <c r="T1204" s="9">
        <f t="shared" si="89"/>
        <v>0</v>
      </c>
      <c r="Z1204" s="9">
        <f t="shared" si="90"/>
        <v>0</v>
      </c>
      <c r="AD1204" s="9">
        <f t="shared" si="91"/>
        <v>0</v>
      </c>
    </row>
    <row r="1205" spans="3:30" x14ac:dyDescent="0.4">
      <c r="C1205" t="str">
        <f t="shared" si="88"/>
        <v/>
      </c>
      <c r="T1205" s="9">
        <f t="shared" si="89"/>
        <v>0</v>
      </c>
      <c r="Z1205" s="9">
        <f t="shared" si="90"/>
        <v>0</v>
      </c>
      <c r="AD1205" s="9">
        <f t="shared" si="91"/>
        <v>0</v>
      </c>
    </row>
    <row r="1206" spans="3:30" x14ac:dyDescent="0.4">
      <c r="C1206" t="str">
        <f t="shared" si="88"/>
        <v/>
      </c>
      <c r="T1206" s="9">
        <f t="shared" si="89"/>
        <v>0</v>
      </c>
      <c r="Z1206" s="9">
        <f t="shared" si="90"/>
        <v>0</v>
      </c>
      <c r="AD1206" s="9">
        <f t="shared" si="91"/>
        <v>0</v>
      </c>
    </row>
    <row r="1207" spans="3:30" x14ac:dyDescent="0.4">
      <c r="C1207" t="str">
        <f t="shared" si="88"/>
        <v/>
      </c>
      <c r="T1207" s="9">
        <f t="shared" si="89"/>
        <v>0</v>
      </c>
      <c r="Z1207" s="9">
        <f t="shared" si="90"/>
        <v>0</v>
      </c>
      <c r="AD1207" s="9">
        <f t="shared" si="91"/>
        <v>0</v>
      </c>
    </row>
    <row r="1208" spans="3:30" x14ac:dyDescent="0.4">
      <c r="C1208" t="str">
        <f t="shared" si="88"/>
        <v/>
      </c>
      <c r="T1208" s="9">
        <f t="shared" si="89"/>
        <v>0</v>
      </c>
      <c r="Z1208" s="9">
        <f t="shared" si="90"/>
        <v>0</v>
      </c>
      <c r="AD1208" s="9">
        <f t="shared" si="91"/>
        <v>0</v>
      </c>
    </row>
    <row r="1209" spans="3:30" x14ac:dyDescent="0.4">
      <c r="C1209" t="str">
        <f t="shared" si="88"/>
        <v/>
      </c>
      <c r="T1209" s="9">
        <f t="shared" si="89"/>
        <v>0</v>
      </c>
      <c r="Z1209" s="9">
        <f t="shared" si="90"/>
        <v>0</v>
      </c>
      <c r="AD1209" s="9">
        <f t="shared" si="91"/>
        <v>0</v>
      </c>
    </row>
    <row r="1210" spans="3:30" x14ac:dyDescent="0.4">
      <c r="C1210" t="str">
        <f t="shared" si="88"/>
        <v/>
      </c>
      <c r="T1210" s="9">
        <f t="shared" si="89"/>
        <v>0</v>
      </c>
      <c r="Z1210" s="9">
        <f t="shared" si="90"/>
        <v>0</v>
      </c>
      <c r="AD1210" s="9">
        <f t="shared" si="91"/>
        <v>0</v>
      </c>
    </row>
    <row r="1211" spans="3:30" x14ac:dyDescent="0.4">
      <c r="C1211" t="str">
        <f t="shared" si="88"/>
        <v/>
      </c>
      <c r="T1211" s="9">
        <f t="shared" si="89"/>
        <v>0</v>
      </c>
      <c r="Z1211" s="9">
        <f t="shared" si="90"/>
        <v>0</v>
      </c>
      <c r="AD1211" s="9">
        <f t="shared" si="91"/>
        <v>0</v>
      </c>
    </row>
    <row r="1212" spans="3:30" x14ac:dyDescent="0.4">
      <c r="C1212" t="str">
        <f t="shared" si="88"/>
        <v/>
      </c>
      <c r="T1212" s="9">
        <f t="shared" si="89"/>
        <v>0</v>
      </c>
      <c r="Z1212" s="9">
        <f t="shared" si="90"/>
        <v>0</v>
      </c>
      <c r="AD1212" s="9">
        <f t="shared" si="91"/>
        <v>0</v>
      </c>
    </row>
    <row r="1213" spans="3:30" x14ac:dyDescent="0.4">
      <c r="C1213" t="str">
        <f t="shared" si="88"/>
        <v/>
      </c>
      <c r="T1213" s="9">
        <f t="shared" si="89"/>
        <v>0</v>
      </c>
      <c r="Z1213" s="9">
        <f t="shared" si="90"/>
        <v>0</v>
      </c>
      <c r="AD1213" s="9">
        <f t="shared" si="91"/>
        <v>0</v>
      </c>
    </row>
    <row r="1214" spans="3:30" x14ac:dyDescent="0.4">
      <c r="C1214" t="str">
        <f t="shared" si="88"/>
        <v/>
      </c>
      <c r="T1214" s="9">
        <f t="shared" si="89"/>
        <v>0</v>
      </c>
      <c r="Z1214" s="9">
        <f t="shared" si="90"/>
        <v>0</v>
      </c>
      <c r="AD1214" s="9">
        <f t="shared" si="91"/>
        <v>0</v>
      </c>
    </row>
    <row r="1215" spans="3:30" x14ac:dyDescent="0.4">
      <c r="C1215" t="str">
        <f t="shared" si="88"/>
        <v/>
      </c>
      <c r="T1215" s="9">
        <f t="shared" si="89"/>
        <v>0</v>
      </c>
      <c r="Z1215" s="9">
        <f t="shared" si="90"/>
        <v>0</v>
      </c>
      <c r="AD1215" s="9">
        <f t="shared" si="91"/>
        <v>0</v>
      </c>
    </row>
    <row r="1216" spans="3:30" x14ac:dyDescent="0.4">
      <c r="C1216" t="str">
        <f t="shared" si="88"/>
        <v/>
      </c>
      <c r="T1216" s="9">
        <f t="shared" si="89"/>
        <v>0</v>
      </c>
      <c r="Z1216" s="9">
        <f t="shared" si="90"/>
        <v>0</v>
      </c>
      <c r="AD1216" s="9">
        <f t="shared" si="91"/>
        <v>0</v>
      </c>
    </row>
    <row r="1217" spans="3:30" x14ac:dyDescent="0.4">
      <c r="C1217" t="str">
        <f t="shared" si="88"/>
        <v/>
      </c>
      <c r="T1217" s="9">
        <f t="shared" si="89"/>
        <v>0</v>
      </c>
      <c r="Z1217" s="9">
        <f t="shared" si="90"/>
        <v>0</v>
      </c>
      <c r="AD1217" s="9">
        <f t="shared" si="91"/>
        <v>0</v>
      </c>
    </row>
    <row r="1218" spans="3:30" x14ac:dyDescent="0.4">
      <c r="C1218" t="str">
        <f t="shared" si="88"/>
        <v/>
      </c>
      <c r="T1218" s="9">
        <f t="shared" si="89"/>
        <v>0</v>
      </c>
      <c r="Z1218" s="9">
        <f t="shared" si="90"/>
        <v>0</v>
      </c>
      <c r="AD1218" s="9">
        <f t="shared" si="91"/>
        <v>0</v>
      </c>
    </row>
    <row r="1219" spans="3:30" x14ac:dyDescent="0.4">
      <c r="C1219" t="str">
        <f t="shared" ref="C1219:C1282" si="92">IF(A1219="","",$J$1&amp;"\"&amp;A1219)</f>
        <v/>
      </c>
      <c r="T1219" s="9">
        <f t="shared" si="89"/>
        <v>0</v>
      </c>
      <c r="Z1219" s="9">
        <f t="shared" si="90"/>
        <v>0</v>
      </c>
      <c r="AD1219" s="9">
        <f t="shared" si="91"/>
        <v>0</v>
      </c>
    </row>
    <row r="1220" spans="3:30" x14ac:dyDescent="0.4">
      <c r="C1220" t="str">
        <f t="shared" si="92"/>
        <v/>
      </c>
      <c r="T1220" s="9">
        <f t="shared" si="89"/>
        <v>0</v>
      </c>
      <c r="Z1220" s="9">
        <f t="shared" si="90"/>
        <v>0</v>
      </c>
      <c r="AD1220" s="9">
        <f t="shared" si="91"/>
        <v>0</v>
      </c>
    </row>
    <row r="1221" spans="3:30" x14ac:dyDescent="0.4">
      <c r="C1221" t="str">
        <f t="shared" si="92"/>
        <v/>
      </c>
      <c r="T1221" s="9">
        <f t="shared" si="89"/>
        <v>0</v>
      </c>
      <c r="Z1221" s="9">
        <f t="shared" si="90"/>
        <v>0</v>
      </c>
      <c r="AD1221" s="9">
        <f t="shared" si="91"/>
        <v>0</v>
      </c>
    </row>
    <row r="1222" spans="3:30" x14ac:dyDescent="0.4">
      <c r="C1222" t="str">
        <f t="shared" si="92"/>
        <v/>
      </c>
      <c r="T1222" s="9">
        <f t="shared" si="89"/>
        <v>0</v>
      </c>
      <c r="Z1222" s="9">
        <f t="shared" si="90"/>
        <v>0</v>
      </c>
      <c r="AD1222" s="9">
        <f t="shared" si="91"/>
        <v>0</v>
      </c>
    </row>
    <row r="1223" spans="3:30" x14ac:dyDescent="0.4">
      <c r="C1223" t="str">
        <f t="shared" si="92"/>
        <v/>
      </c>
      <c r="T1223" s="9">
        <f t="shared" si="89"/>
        <v>0</v>
      </c>
      <c r="Z1223" s="9">
        <f t="shared" si="90"/>
        <v>0</v>
      </c>
      <c r="AD1223" s="9">
        <f t="shared" si="91"/>
        <v>0</v>
      </c>
    </row>
    <row r="1224" spans="3:30" x14ac:dyDescent="0.4">
      <c r="C1224" t="str">
        <f t="shared" si="92"/>
        <v/>
      </c>
      <c r="T1224" s="9">
        <f t="shared" ref="T1224:T1287" si="93">(COUNTIFS(TH_TK,N1224,TH_DuNo,O1224,TH_DuNoNT,P1224,TH_DuCo,Q1224,TH_DuCoNT,R1224,TH_SoLuong,S1224)&gt;0)*1</f>
        <v>0</v>
      </c>
      <c r="Z1224" s="9">
        <f t="shared" ref="Z1224:Z1287" si="94">(COUNTIFS(NV,U1224,TK,V1224,TongNo,W1224,TongCo,X1224,SoLuong,Y1224)&gt;0)*1</f>
        <v>0</v>
      </c>
      <c r="AD1224" s="9">
        <f t="shared" ref="AD1224:AD1287" si="95">COUNTIFS(ReportType,AA1224,ItemCode,AB1224,Amount,AC1224)</f>
        <v>0</v>
      </c>
    </row>
    <row r="1225" spans="3:30" x14ac:dyDescent="0.4">
      <c r="C1225" t="str">
        <f t="shared" si="92"/>
        <v/>
      </c>
      <c r="T1225" s="9">
        <f t="shared" si="93"/>
        <v>0</v>
      </c>
      <c r="Z1225" s="9">
        <f t="shared" si="94"/>
        <v>0</v>
      </c>
      <c r="AD1225" s="9">
        <f t="shared" si="95"/>
        <v>0</v>
      </c>
    </row>
    <row r="1226" spans="3:30" x14ac:dyDescent="0.4">
      <c r="C1226" t="str">
        <f t="shared" si="92"/>
        <v/>
      </c>
      <c r="T1226" s="9">
        <f t="shared" si="93"/>
        <v>0</v>
      </c>
      <c r="Z1226" s="9">
        <f t="shared" si="94"/>
        <v>0</v>
      </c>
      <c r="AD1226" s="9">
        <f t="shared" si="95"/>
        <v>0</v>
      </c>
    </row>
    <row r="1227" spans="3:30" x14ac:dyDescent="0.4">
      <c r="C1227" t="str">
        <f t="shared" si="92"/>
        <v/>
      </c>
      <c r="T1227" s="9">
        <f t="shared" si="93"/>
        <v>0</v>
      </c>
      <c r="Z1227" s="9">
        <f t="shared" si="94"/>
        <v>0</v>
      </c>
      <c r="AD1227" s="9">
        <f t="shared" si="95"/>
        <v>0</v>
      </c>
    </row>
    <row r="1228" spans="3:30" x14ac:dyDescent="0.4">
      <c r="C1228" t="str">
        <f t="shared" si="92"/>
        <v/>
      </c>
      <c r="T1228" s="9">
        <f t="shared" si="93"/>
        <v>0</v>
      </c>
      <c r="Z1228" s="9">
        <f t="shared" si="94"/>
        <v>0</v>
      </c>
      <c r="AD1228" s="9">
        <f t="shared" si="95"/>
        <v>0</v>
      </c>
    </row>
    <row r="1229" spans="3:30" x14ac:dyDescent="0.4">
      <c r="C1229" t="str">
        <f t="shared" si="92"/>
        <v/>
      </c>
      <c r="T1229" s="9">
        <f t="shared" si="93"/>
        <v>0</v>
      </c>
      <c r="Z1229" s="9">
        <f t="shared" si="94"/>
        <v>0</v>
      </c>
      <c r="AD1229" s="9">
        <f t="shared" si="95"/>
        <v>0</v>
      </c>
    </row>
    <row r="1230" spans="3:30" x14ac:dyDescent="0.4">
      <c r="C1230" t="str">
        <f t="shared" si="92"/>
        <v/>
      </c>
      <c r="T1230" s="9">
        <f t="shared" si="93"/>
        <v>0</v>
      </c>
      <c r="Z1230" s="9">
        <f t="shared" si="94"/>
        <v>0</v>
      </c>
      <c r="AD1230" s="9">
        <f t="shared" si="95"/>
        <v>0</v>
      </c>
    </row>
    <row r="1231" spans="3:30" x14ac:dyDescent="0.4">
      <c r="C1231" t="str">
        <f t="shared" si="92"/>
        <v/>
      </c>
      <c r="T1231" s="9">
        <f t="shared" si="93"/>
        <v>0</v>
      </c>
      <c r="Z1231" s="9">
        <f t="shared" si="94"/>
        <v>0</v>
      </c>
      <c r="AD1231" s="9">
        <f t="shared" si="95"/>
        <v>0</v>
      </c>
    </row>
    <row r="1232" spans="3:30" x14ac:dyDescent="0.4">
      <c r="C1232" t="str">
        <f t="shared" si="92"/>
        <v/>
      </c>
      <c r="T1232" s="9">
        <f t="shared" si="93"/>
        <v>0</v>
      </c>
      <c r="Z1232" s="9">
        <f t="shared" si="94"/>
        <v>0</v>
      </c>
      <c r="AD1232" s="9">
        <f t="shared" si="95"/>
        <v>0</v>
      </c>
    </row>
    <row r="1233" spans="3:30" x14ac:dyDescent="0.4">
      <c r="C1233" t="str">
        <f t="shared" si="92"/>
        <v/>
      </c>
      <c r="T1233" s="9">
        <f t="shared" si="93"/>
        <v>0</v>
      </c>
      <c r="Z1233" s="9">
        <f t="shared" si="94"/>
        <v>0</v>
      </c>
      <c r="AD1233" s="9">
        <f t="shared" si="95"/>
        <v>0</v>
      </c>
    </row>
    <row r="1234" spans="3:30" x14ac:dyDescent="0.4">
      <c r="C1234" t="str">
        <f t="shared" si="92"/>
        <v/>
      </c>
      <c r="T1234" s="9">
        <f t="shared" si="93"/>
        <v>0</v>
      </c>
      <c r="Z1234" s="9">
        <f t="shared" si="94"/>
        <v>0</v>
      </c>
      <c r="AD1234" s="9">
        <f t="shared" si="95"/>
        <v>0</v>
      </c>
    </row>
    <row r="1235" spans="3:30" x14ac:dyDescent="0.4">
      <c r="C1235" t="str">
        <f t="shared" si="92"/>
        <v/>
      </c>
      <c r="T1235" s="9">
        <f t="shared" si="93"/>
        <v>0</v>
      </c>
      <c r="Z1235" s="9">
        <f t="shared" si="94"/>
        <v>0</v>
      </c>
      <c r="AD1235" s="9">
        <f t="shared" si="95"/>
        <v>0</v>
      </c>
    </row>
    <row r="1236" spans="3:30" x14ac:dyDescent="0.4">
      <c r="C1236" t="str">
        <f t="shared" si="92"/>
        <v/>
      </c>
      <c r="T1236" s="9">
        <f t="shared" si="93"/>
        <v>0</v>
      </c>
      <c r="Z1236" s="9">
        <f t="shared" si="94"/>
        <v>0</v>
      </c>
      <c r="AD1236" s="9">
        <f t="shared" si="95"/>
        <v>0</v>
      </c>
    </row>
    <row r="1237" spans="3:30" x14ac:dyDescent="0.4">
      <c r="C1237" t="str">
        <f t="shared" si="92"/>
        <v/>
      </c>
      <c r="T1237" s="9">
        <f t="shared" si="93"/>
        <v>0</v>
      </c>
      <c r="Z1237" s="9">
        <f t="shared" si="94"/>
        <v>0</v>
      </c>
      <c r="AD1237" s="9">
        <f t="shared" si="95"/>
        <v>0</v>
      </c>
    </row>
    <row r="1238" spans="3:30" x14ac:dyDescent="0.4">
      <c r="C1238" t="str">
        <f t="shared" si="92"/>
        <v/>
      </c>
      <c r="T1238" s="9">
        <f t="shared" si="93"/>
        <v>0</v>
      </c>
      <c r="Z1238" s="9">
        <f t="shared" si="94"/>
        <v>0</v>
      </c>
      <c r="AD1238" s="9">
        <f t="shared" si="95"/>
        <v>0</v>
      </c>
    </row>
    <row r="1239" spans="3:30" x14ac:dyDescent="0.4">
      <c r="C1239" t="str">
        <f t="shared" si="92"/>
        <v/>
      </c>
      <c r="T1239" s="9">
        <f t="shared" si="93"/>
        <v>0</v>
      </c>
      <c r="Z1239" s="9">
        <f t="shared" si="94"/>
        <v>0</v>
      </c>
      <c r="AD1239" s="9">
        <f t="shared" si="95"/>
        <v>0</v>
      </c>
    </row>
    <row r="1240" spans="3:30" x14ac:dyDescent="0.4">
      <c r="C1240" t="str">
        <f t="shared" si="92"/>
        <v/>
      </c>
      <c r="T1240" s="9">
        <f t="shared" si="93"/>
        <v>0</v>
      </c>
      <c r="Z1240" s="9">
        <f t="shared" si="94"/>
        <v>0</v>
      </c>
      <c r="AD1240" s="9">
        <f t="shared" si="95"/>
        <v>0</v>
      </c>
    </row>
    <row r="1241" spans="3:30" x14ac:dyDescent="0.4">
      <c r="C1241" t="str">
        <f t="shared" si="92"/>
        <v/>
      </c>
      <c r="T1241" s="9">
        <f t="shared" si="93"/>
        <v>0</v>
      </c>
      <c r="Z1241" s="9">
        <f t="shared" si="94"/>
        <v>0</v>
      </c>
      <c r="AD1241" s="9">
        <f t="shared" si="95"/>
        <v>0</v>
      </c>
    </row>
    <row r="1242" spans="3:30" x14ac:dyDescent="0.4">
      <c r="C1242" t="str">
        <f t="shared" si="92"/>
        <v/>
      </c>
      <c r="T1242" s="9">
        <f t="shared" si="93"/>
        <v>0</v>
      </c>
      <c r="Z1242" s="9">
        <f t="shared" si="94"/>
        <v>0</v>
      </c>
      <c r="AD1242" s="9">
        <f t="shared" si="95"/>
        <v>0</v>
      </c>
    </row>
    <row r="1243" spans="3:30" x14ac:dyDescent="0.4">
      <c r="C1243" t="str">
        <f t="shared" si="92"/>
        <v/>
      </c>
      <c r="T1243" s="9">
        <f t="shared" si="93"/>
        <v>0</v>
      </c>
      <c r="Z1243" s="9">
        <f t="shared" si="94"/>
        <v>0</v>
      </c>
      <c r="AD1243" s="9">
        <f t="shared" si="95"/>
        <v>0</v>
      </c>
    </row>
    <row r="1244" spans="3:30" x14ac:dyDescent="0.4">
      <c r="C1244" t="str">
        <f t="shared" si="92"/>
        <v/>
      </c>
      <c r="T1244" s="9">
        <f t="shared" si="93"/>
        <v>0</v>
      </c>
      <c r="Z1244" s="9">
        <f t="shared" si="94"/>
        <v>0</v>
      </c>
      <c r="AD1244" s="9">
        <f t="shared" si="95"/>
        <v>0</v>
      </c>
    </row>
    <row r="1245" spans="3:30" x14ac:dyDescent="0.4">
      <c r="C1245" t="str">
        <f t="shared" si="92"/>
        <v/>
      </c>
      <c r="T1245" s="9">
        <f t="shared" si="93"/>
        <v>0</v>
      </c>
      <c r="Z1245" s="9">
        <f t="shared" si="94"/>
        <v>0</v>
      </c>
      <c r="AD1245" s="9">
        <f t="shared" si="95"/>
        <v>0</v>
      </c>
    </row>
    <row r="1246" spans="3:30" x14ac:dyDescent="0.4">
      <c r="C1246" t="str">
        <f t="shared" si="92"/>
        <v/>
      </c>
      <c r="T1246" s="9">
        <f t="shared" si="93"/>
        <v>0</v>
      </c>
      <c r="Z1246" s="9">
        <f t="shared" si="94"/>
        <v>0</v>
      </c>
      <c r="AD1246" s="9">
        <f t="shared" si="95"/>
        <v>0</v>
      </c>
    </row>
    <row r="1247" spans="3:30" x14ac:dyDescent="0.4">
      <c r="C1247" t="str">
        <f t="shared" si="92"/>
        <v/>
      </c>
      <c r="T1247" s="9">
        <f t="shared" si="93"/>
        <v>0</v>
      </c>
      <c r="Z1247" s="9">
        <f t="shared" si="94"/>
        <v>0</v>
      </c>
      <c r="AD1247" s="9">
        <f t="shared" si="95"/>
        <v>0</v>
      </c>
    </row>
    <row r="1248" spans="3:30" x14ac:dyDescent="0.4">
      <c r="C1248" t="str">
        <f t="shared" si="92"/>
        <v/>
      </c>
      <c r="T1248" s="9">
        <f t="shared" si="93"/>
        <v>0</v>
      </c>
      <c r="Z1248" s="9">
        <f t="shared" si="94"/>
        <v>0</v>
      </c>
      <c r="AD1248" s="9">
        <f t="shared" si="95"/>
        <v>0</v>
      </c>
    </row>
    <row r="1249" spans="3:30" x14ac:dyDescent="0.4">
      <c r="C1249" t="str">
        <f t="shared" si="92"/>
        <v/>
      </c>
      <c r="T1249" s="9">
        <f t="shared" si="93"/>
        <v>0</v>
      </c>
      <c r="Z1249" s="9">
        <f t="shared" si="94"/>
        <v>0</v>
      </c>
      <c r="AD1249" s="9">
        <f t="shared" si="95"/>
        <v>0</v>
      </c>
    </row>
    <row r="1250" spans="3:30" x14ac:dyDescent="0.4">
      <c r="C1250" t="str">
        <f t="shared" si="92"/>
        <v/>
      </c>
      <c r="T1250" s="9">
        <f t="shared" si="93"/>
        <v>0</v>
      </c>
      <c r="Z1250" s="9">
        <f t="shared" si="94"/>
        <v>0</v>
      </c>
      <c r="AD1250" s="9">
        <f t="shared" si="95"/>
        <v>0</v>
      </c>
    </row>
    <row r="1251" spans="3:30" x14ac:dyDescent="0.4">
      <c r="C1251" t="str">
        <f t="shared" si="92"/>
        <v/>
      </c>
      <c r="T1251" s="9">
        <f t="shared" si="93"/>
        <v>0</v>
      </c>
      <c r="Z1251" s="9">
        <f t="shared" si="94"/>
        <v>0</v>
      </c>
      <c r="AD1251" s="9">
        <f t="shared" si="95"/>
        <v>0</v>
      </c>
    </row>
    <row r="1252" spans="3:30" x14ac:dyDescent="0.4">
      <c r="C1252" t="str">
        <f t="shared" si="92"/>
        <v/>
      </c>
      <c r="T1252" s="9">
        <f t="shared" si="93"/>
        <v>0</v>
      </c>
      <c r="Z1252" s="9">
        <f t="shared" si="94"/>
        <v>0</v>
      </c>
      <c r="AD1252" s="9">
        <f t="shared" si="95"/>
        <v>0</v>
      </c>
    </row>
    <row r="1253" spans="3:30" x14ac:dyDescent="0.4">
      <c r="C1253" t="str">
        <f t="shared" si="92"/>
        <v/>
      </c>
      <c r="T1253" s="9">
        <f t="shared" si="93"/>
        <v>0</v>
      </c>
      <c r="Z1253" s="9">
        <f t="shared" si="94"/>
        <v>0</v>
      </c>
      <c r="AD1253" s="9">
        <f t="shared" si="95"/>
        <v>0</v>
      </c>
    </row>
    <row r="1254" spans="3:30" x14ac:dyDescent="0.4">
      <c r="C1254" t="str">
        <f t="shared" si="92"/>
        <v/>
      </c>
      <c r="T1254" s="9">
        <f t="shared" si="93"/>
        <v>0</v>
      </c>
      <c r="Z1254" s="9">
        <f t="shared" si="94"/>
        <v>0</v>
      </c>
      <c r="AD1254" s="9">
        <f t="shared" si="95"/>
        <v>0</v>
      </c>
    </row>
    <row r="1255" spans="3:30" x14ac:dyDescent="0.4">
      <c r="C1255" t="str">
        <f t="shared" si="92"/>
        <v/>
      </c>
      <c r="T1255" s="9">
        <f t="shared" si="93"/>
        <v>0</v>
      </c>
      <c r="Z1255" s="9">
        <f t="shared" si="94"/>
        <v>0</v>
      </c>
      <c r="AD1255" s="9">
        <f t="shared" si="95"/>
        <v>0</v>
      </c>
    </row>
    <row r="1256" spans="3:30" x14ac:dyDescent="0.4">
      <c r="C1256" t="str">
        <f t="shared" si="92"/>
        <v/>
      </c>
      <c r="T1256" s="9">
        <f t="shared" si="93"/>
        <v>0</v>
      </c>
      <c r="Z1256" s="9">
        <f t="shared" si="94"/>
        <v>0</v>
      </c>
      <c r="AD1256" s="9">
        <f t="shared" si="95"/>
        <v>0</v>
      </c>
    </row>
    <row r="1257" spans="3:30" x14ac:dyDescent="0.4">
      <c r="C1257" t="str">
        <f t="shared" si="92"/>
        <v/>
      </c>
      <c r="T1257" s="9">
        <f t="shared" si="93"/>
        <v>0</v>
      </c>
      <c r="Z1257" s="9">
        <f t="shared" si="94"/>
        <v>0</v>
      </c>
      <c r="AD1257" s="9">
        <f t="shared" si="95"/>
        <v>0</v>
      </c>
    </row>
    <row r="1258" spans="3:30" x14ac:dyDescent="0.4">
      <c r="C1258" t="str">
        <f t="shared" si="92"/>
        <v/>
      </c>
      <c r="T1258" s="9">
        <f t="shared" si="93"/>
        <v>0</v>
      </c>
      <c r="Z1258" s="9">
        <f t="shared" si="94"/>
        <v>0</v>
      </c>
      <c r="AD1258" s="9">
        <f t="shared" si="95"/>
        <v>0</v>
      </c>
    </row>
    <row r="1259" spans="3:30" x14ac:dyDescent="0.4">
      <c r="C1259" t="str">
        <f t="shared" si="92"/>
        <v/>
      </c>
      <c r="T1259" s="9">
        <f t="shared" si="93"/>
        <v>0</v>
      </c>
      <c r="Z1259" s="9">
        <f t="shared" si="94"/>
        <v>0</v>
      </c>
      <c r="AD1259" s="9">
        <f t="shared" si="95"/>
        <v>0</v>
      </c>
    </row>
    <row r="1260" spans="3:30" x14ac:dyDescent="0.4">
      <c r="C1260" t="str">
        <f t="shared" si="92"/>
        <v/>
      </c>
      <c r="T1260" s="9">
        <f t="shared" si="93"/>
        <v>0</v>
      </c>
      <c r="Z1260" s="9">
        <f t="shared" si="94"/>
        <v>0</v>
      </c>
      <c r="AD1260" s="9">
        <f t="shared" si="95"/>
        <v>0</v>
      </c>
    </row>
    <row r="1261" spans="3:30" x14ac:dyDescent="0.4">
      <c r="C1261" t="str">
        <f t="shared" si="92"/>
        <v/>
      </c>
      <c r="T1261" s="9">
        <f t="shared" si="93"/>
        <v>0</v>
      </c>
      <c r="Z1261" s="9">
        <f t="shared" si="94"/>
        <v>0</v>
      </c>
      <c r="AD1261" s="9">
        <f t="shared" si="95"/>
        <v>0</v>
      </c>
    </row>
    <row r="1262" spans="3:30" x14ac:dyDescent="0.4">
      <c r="C1262" t="str">
        <f t="shared" si="92"/>
        <v/>
      </c>
      <c r="T1262" s="9">
        <f t="shared" si="93"/>
        <v>0</v>
      </c>
      <c r="Z1262" s="9">
        <f t="shared" si="94"/>
        <v>0</v>
      </c>
      <c r="AD1262" s="9">
        <f t="shared" si="95"/>
        <v>0</v>
      </c>
    </row>
    <row r="1263" spans="3:30" x14ac:dyDescent="0.4">
      <c r="C1263" t="str">
        <f t="shared" si="92"/>
        <v/>
      </c>
      <c r="T1263" s="9">
        <f t="shared" si="93"/>
        <v>0</v>
      </c>
      <c r="Z1263" s="9">
        <f t="shared" si="94"/>
        <v>0</v>
      </c>
      <c r="AD1263" s="9">
        <f t="shared" si="95"/>
        <v>0</v>
      </c>
    </row>
    <row r="1264" spans="3:30" x14ac:dyDescent="0.4">
      <c r="C1264" t="str">
        <f t="shared" si="92"/>
        <v/>
      </c>
      <c r="T1264" s="9">
        <f t="shared" si="93"/>
        <v>0</v>
      </c>
      <c r="Z1264" s="9">
        <f t="shared" si="94"/>
        <v>0</v>
      </c>
      <c r="AD1264" s="9">
        <f t="shared" si="95"/>
        <v>0</v>
      </c>
    </row>
    <row r="1265" spans="3:30" x14ac:dyDescent="0.4">
      <c r="C1265" t="str">
        <f t="shared" si="92"/>
        <v/>
      </c>
      <c r="T1265" s="9">
        <f t="shared" si="93"/>
        <v>0</v>
      </c>
      <c r="Z1265" s="9">
        <f t="shared" si="94"/>
        <v>0</v>
      </c>
      <c r="AD1265" s="9">
        <f t="shared" si="95"/>
        <v>0</v>
      </c>
    </row>
    <row r="1266" spans="3:30" x14ac:dyDescent="0.4">
      <c r="C1266" t="str">
        <f t="shared" si="92"/>
        <v/>
      </c>
      <c r="T1266" s="9">
        <f t="shared" si="93"/>
        <v>0</v>
      </c>
      <c r="Z1266" s="9">
        <f t="shared" si="94"/>
        <v>0</v>
      </c>
      <c r="AD1266" s="9">
        <f t="shared" si="95"/>
        <v>0</v>
      </c>
    </row>
    <row r="1267" spans="3:30" x14ac:dyDescent="0.4">
      <c r="C1267" t="str">
        <f t="shared" si="92"/>
        <v/>
      </c>
      <c r="T1267" s="9">
        <f t="shared" si="93"/>
        <v>0</v>
      </c>
      <c r="Z1267" s="9">
        <f t="shared" si="94"/>
        <v>0</v>
      </c>
      <c r="AD1267" s="9">
        <f t="shared" si="95"/>
        <v>0</v>
      </c>
    </row>
    <row r="1268" spans="3:30" x14ac:dyDescent="0.4">
      <c r="C1268" t="str">
        <f t="shared" si="92"/>
        <v/>
      </c>
      <c r="T1268" s="9">
        <f t="shared" si="93"/>
        <v>0</v>
      </c>
      <c r="Z1268" s="9">
        <f t="shared" si="94"/>
        <v>0</v>
      </c>
      <c r="AD1268" s="9">
        <f t="shared" si="95"/>
        <v>0</v>
      </c>
    </row>
    <row r="1269" spans="3:30" x14ac:dyDescent="0.4">
      <c r="C1269" t="str">
        <f t="shared" si="92"/>
        <v/>
      </c>
      <c r="T1269" s="9">
        <f t="shared" si="93"/>
        <v>0</v>
      </c>
      <c r="Z1269" s="9">
        <f t="shared" si="94"/>
        <v>0</v>
      </c>
      <c r="AD1269" s="9">
        <f t="shared" si="95"/>
        <v>0</v>
      </c>
    </row>
    <row r="1270" spans="3:30" x14ac:dyDescent="0.4">
      <c r="C1270" t="str">
        <f t="shared" si="92"/>
        <v/>
      </c>
      <c r="T1270" s="9">
        <f t="shared" si="93"/>
        <v>0</v>
      </c>
      <c r="Z1270" s="9">
        <f t="shared" si="94"/>
        <v>0</v>
      </c>
      <c r="AD1270" s="9">
        <f t="shared" si="95"/>
        <v>0</v>
      </c>
    </row>
    <row r="1271" spans="3:30" x14ac:dyDescent="0.4">
      <c r="C1271" t="str">
        <f t="shared" si="92"/>
        <v/>
      </c>
      <c r="T1271" s="9">
        <f t="shared" si="93"/>
        <v>0</v>
      </c>
      <c r="Z1271" s="9">
        <f t="shared" si="94"/>
        <v>0</v>
      </c>
      <c r="AD1271" s="9">
        <f t="shared" si="95"/>
        <v>0</v>
      </c>
    </row>
    <row r="1272" spans="3:30" x14ac:dyDescent="0.4">
      <c r="C1272" t="str">
        <f t="shared" si="92"/>
        <v/>
      </c>
      <c r="T1272" s="9">
        <f t="shared" si="93"/>
        <v>0</v>
      </c>
      <c r="Z1272" s="9">
        <f t="shared" si="94"/>
        <v>0</v>
      </c>
      <c r="AD1272" s="9">
        <f t="shared" si="95"/>
        <v>0</v>
      </c>
    </row>
    <row r="1273" spans="3:30" x14ac:dyDescent="0.4">
      <c r="C1273" t="str">
        <f t="shared" si="92"/>
        <v/>
      </c>
      <c r="T1273" s="9">
        <f t="shared" si="93"/>
        <v>0</v>
      </c>
      <c r="Z1273" s="9">
        <f t="shared" si="94"/>
        <v>0</v>
      </c>
      <c r="AD1273" s="9">
        <f t="shared" si="95"/>
        <v>0</v>
      </c>
    </row>
    <row r="1274" spans="3:30" x14ac:dyDescent="0.4">
      <c r="C1274" t="str">
        <f t="shared" si="92"/>
        <v/>
      </c>
      <c r="T1274" s="9">
        <f t="shared" si="93"/>
        <v>0</v>
      </c>
      <c r="Z1274" s="9">
        <f t="shared" si="94"/>
        <v>0</v>
      </c>
      <c r="AD1274" s="9">
        <f t="shared" si="95"/>
        <v>0</v>
      </c>
    </row>
    <row r="1275" spans="3:30" x14ac:dyDescent="0.4">
      <c r="C1275" t="str">
        <f t="shared" si="92"/>
        <v/>
      </c>
      <c r="T1275" s="9">
        <f t="shared" si="93"/>
        <v>0</v>
      </c>
      <c r="Z1275" s="9">
        <f t="shared" si="94"/>
        <v>0</v>
      </c>
      <c r="AD1275" s="9">
        <f t="shared" si="95"/>
        <v>0</v>
      </c>
    </row>
    <row r="1276" spans="3:30" x14ac:dyDescent="0.4">
      <c r="C1276" t="str">
        <f t="shared" si="92"/>
        <v/>
      </c>
      <c r="T1276" s="9">
        <f t="shared" si="93"/>
        <v>0</v>
      </c>
      <c r="Z1276" s="9">
        <f t="shared" si="94"/>
        <v>0</v>
      </c>
      <c r="AD1276" s="9">
        <f t="shared" si="95"/>
        <v>0</v>
      </c>
    </row>
    <row r="1277" spans="3:30" x14ac:dyDescent="0.4">
      <c r="C1277" t="str">
        <f t="shared" si="92"/>
        <v/>
      </c>
      <c r="T1277" s="9">
        <f t="shared" si="93"/>
        <v>0</v>
      </c>
      <c r="Z1277" s="9">
        <f t="shared" si="94"/>
        <v>0</v>
      </c>
      <c r="AD1277" s="9">
        <f t="shared" si="95"/>
        <v>0</v>
      </c>
    </row>
    <row r="1278" spans="3:30" x14ac:dyDescent="0.4">
      <c r="C1278" t="str">
        <f t="shared" si="92"/>
        <v/>
      </c>
      <c r="T1278" s="9">
        <f t="shared" si="93"/>
        <v>0</v>
      </c>
      <c r="Z1278" s="9">
        <f t="shared" si="94"/>
        <v>0</v>
      </c>
      <c r="AD1278" s="9">
        <f t="shared" si="95"/>
        <v>0</v>
      </c>
    </row>
    <row r="1279" spans="3:30" x14ac:dyDescent="0.4">
      <c r="C1279" t="str">
        <f t="shared" si="92"/>
        <v/>
      </c>
      <c r="T1279" s="9">
        <f t="shared" si="93"/>
        <v>0</v>
      </c>
      <c r="Z1279" s="9">
        <f t="shared" si="94"/>
        <v>0</v>
      </c>
      <c r="AD1279" s="9">
        <f t="shared" si="95"/>
        <v>0</v>
      </c>
    </row>
    <row r="1280" spans="3:30" x14ac:dyDescent="0.4">
      <c r="C1280" t="str">
        <f t="shared" si="92"/>
        <v/>
      </c>
      <c r="T1280" s="9">
        <f t="shared" si="93"/>
        <v>0</v>
      </c>
      <c r="Z1280" s="9">
        <f t="shared" si="94"/>
        <v>0</v>
      </c>
      <c r="AD1280" s="9">
        <f t="shared" si="95"/>
        <v>0</v>
      </c>
    </row>
    <row r="1281" spans="3:30" x14ac:dyDescent="0.4">
      <c r="C1281" t="str">
        <f t="shared" si="92"/>
        <v/>
      </c>
      <c r="T1281" s="9">
        <f t="shared" si="93"/>
        <v>0</v>
      </c>
      <c r="Z1281" s="9">
        <f t="shared" si="94"/>
        <v>0</v>
      </c>
      <c r="AD1281" s="9">
        <f t="shared" si="95"/>
        <v>0</v>
      </c>
    </row>
    <row r="1282" spans="3:30" x14ac:dyDescent="0.4">
      <c r="C1282" t="str">
        <f t="shared" si="92"/>
        <v/>
      </c>
      <c r="T1282" s="9">
        <f t="shared" si="93"/>
        <v>0</v>
      </c>
      <c r="Z1282" s="9">
        <f t="shared" si="94"/>
        <v>0</v>
      </c>
      <c r="AD1282" s="9">
        <f t="shared" si="95"/>
        <v>0</v>
      </c>
    </row>
    <row r="1283" spans="3:30" x14ac:dyDescent="0.4">
      <c r="C1283" t="str">
        <f t="shared" ref="C1283:C1346" si="96">IF(A1283="","",$J$1&amp;"\"&amp;A1283)</f>
        <v/>
      </c>
      <c r="T1283" s="9">
        <f t="shared" si="93"/>
        <v>0</v>
      </c>
      <c r="Z1283" s="9">
        <f t="shared" si="94"/>
        <v>0</v>
      </c>
      <c r="AD1283" s="9">
        <f t="shared" si="95"/>
        <v>0</v>
      </c>
    </row>
    <row r="1284" spans="3:30" x14ac:dyDescent="0.4">
      <c r="C1284" t="str">
        <f t="shared" si="96"/>
        <v/>
      </c>
      <c r="T1284" s="9">
        <f t="shared" si="93"/>
        <v>0</v>
      </c>
      <c r="Z1284" s="9">
        <f t="shared" si="94"/>
        <v>0</v>
      </c>
      <c r="AD1284" s="9">
        <f t="shared" si="95"/>
        <v>0</v>
      </c>
    </row>
    <row r="1285" spans="3:30" x14ac:dyDescent="0.4">
      <c r="C1285" t="str">
        <f t="shared" si="96"/>
        <v/>
      </c>
      <c r="T1285" s="9">
        <f t="shared" si="93"/>
        <v>0</v>
      </c>
      <c r="Z1285" s="9">
        <f t="shared" si="94"/>
        <v>0</v>
      </c>
      <c r="AD1285" s="9">
        <f t="shared" si="95"/>
        <v>0</v>
      </c>
    </row>
    <row r="1286" spans="3:30" x14ac:dyDescent="0.4">
      <c r="C1286" t="str">
        <f t="shared" si="96"/>
        <v/>
      </c>
      <c r="T1286" s="9">
        <f t="shared" si="93"/>
        <v>0</v>
      </c>
      <c r="Z1286" s="9">
        <f t="shared" si="94"/>
        <v>0</v>
      </c>
      <c r="AD1286" s="9">
        <f t="shared" si="95"/>
        <v>0</v>
      </c>
    </row>
    <row r="1287" spans="3:30" x14ac:dyDescent="0.4">
      <c r="C1287" t="str">
        <f t="shared" si="96"/>
        <v/>
      </c>
      <c r="T1287" s="9">
        <f t="shared" si="93"/>
        <v>0</v>
      </c>
      <c r="Z1287" s="9">
        <f t="shared" si="94"/>
        <v>0</v>
      </c>
      <c r="AD1287" s="9">
        <f t="shared" si="95"/>
        <v>0</v>
      </c>
    </row>
    <row r="1288" spans="3:30" x14ac:dyDescent="0.4">
      <c r="C1288" t="str">
        <f t="shared" si="96"/>
        <v/>
      </c>
      <c r="T1288" s="9">
        <f t="shared" ref="T1288:T1351" si="97">(COUNTIFS(TH_TK,N1288,TH_DuNo,O1288,TH_DuNoNT,P1288,TH_DuCo,Q1288,TH_DuCoNT,R1288,TH_SoLuong,S1288)&gt;0)*1</f>
        <v>0</v>
      </c>
      <c r="Z1288" s="9">
        <f t="shared" ref="Z1288:Z1351" si="98">(COUNTIFS(NV,U1288,TK,V1288,TongNo,W1288,TongCo,X1288,SoLuong,Y1288)&gt;0)*1</f>
        <v>0</v>
      </c>
      <c r="AD1288" s="9">
        <f t="shared" ref="AD1288:AD1351" si="99">COUNTIFS(ReportType,AA1288,ItemCode,AB1288,Amount,AC1288)</f>
        <v>0</v>
      </c>
    </row>
    <row r="1289" spans="3:30" x14ac:dyDescent="0.4">
      <c r="C1289" t="str">
        <f t="shared" si="96"/>
        <v/>
      </c>
      <c r="T1289" s="9">
        <f t="shared" si="97"/>
        <v>0</v>
      </c>
      <c r="Z1289" s="9">
        <f t="shared" si="98"/>
        <v>0</v>
      </c>
      <c r="AD1289" s="9">
        <f t="shared" si="99"/>
        <v>0</v>
      </c>
    </row>
    <row r="1290" spans="3:30" x14ac:dyDescent="0.4">
      <c r="C1290" t="str">
        <f t="shared" si="96"/>
        <v/>
      </c>
      <c r="T1290" s="9">
        <f t="shared" si="97"/>
        <v>0</v>
      </c>
      <c r="Z1290" s="9">
        <f t="shared" si="98"/>
        <v>0</v>
      </c>
      <c r="AD1290" s="9">
        <f t="shared" si="99"/>
        <v>0</v>
      </c>
    </row>
    <row r="1291" spans="3:30" x14ac:dyDescent="0.4">
      <c r="C1291" t="str">
        <f t="shared" si="96"/>
        <v/>
      </c>
      <c r="T1291" s="9">
        <f t="shared" si="97"/>
        <v>0</v>
      </c>
      <c r="Z1291" s="9">
        <f t="shared" si="98"/>
        <v>0</v>
      </c>
      <c r="AD1291" s="9">
        <f t="shared" si="99"/>
        <v>0</v>
      </c>
    </row>
    <row r="1292" spans="3:30" x14ac:dyDescent="0.4">
      <c r="C1292" t="str">
        <f t="shared" si="96"/>
        <v/>
      </c>
      <c r="T1292" s="9">
        <f t="shared" si="97"/>
        <v>0</v>
      </c>
      <c r="Z1292" s="9">
        <f t="shared" si="98"/>
        <v>0</v>
      </c>
      <c r="AD1292" s="9">
        <f t="shared" si="99"/>
        <v>0</v>
      </c>
    </row>
    <row r="1293" spans="3:30" x14ac:dyDescent="0.4">
      <c r="C1293" t="str">
        <f t="shared" si="96"/>
        <v/>
      </c>
      <c r="T1293" s="9">
        <f t="shared" si="97"/>
        <v>0</v>
      </c>
      <c r="Z1293" s="9">
        <f t="shared" si="98"/>
        <v>0</v>
      </c>
      <c r="AD1293" s="9">
        <f t="shared" si="99"/>
        <v>0</v>
      </c>
    </row>
    <row r="1294" spans="3:30" x14ac:dyDescent="0.4">
      <c r="C1294" t="str">
        <f t="shared" si="96"/>
        <v/>
      </c>
      <c r="T1294" s="9">
        <f t="shared" si="97"/>
        <v>0</v>
      </c>
      <c r="Z1294" s="9">
        <f t="shared" si="98"/>
        <v>0</v>
      </c>
      <c r="AD1294" s="9">
        <f t="shared" si="99"/>
        <v>0</v>
      </c>
    </row>
    <row r="1295" spans="3:30" x14ac:dyDescent="0.4">
      <c r="C1295" t="str">
        <f t="shared" si="96"/>
        <v/>
      </c>
      <c r="T1295" s="9">
        <f t="shared" si="97"/>
        <v>0</v>
      </c>
      <c r="Z1295" s="9">
        <f t="shared" si="98"/>
        <v>0</v>
      </c>
      <c r="AD1295" s="9">
        <f t="shared" si="99"/>
        <v>0</v>
      </c>
    </row>
    <row r="1296" spans="3:30" x14ac:dyDescent="0.4">
      <c r="C1296" t="str">
        <f t="shared" si="96"/>
        <v/>
      </c>
      <c r="T1296" s="9">
        <f t="shared" si="97"/>
        <v>0</v>
      </c>
      <c r="Z1296" s="9">
        <f t="shared" si="98"/>
        <v>0</v>
      </c>
      <c r="AD1296" s="9">
        <f t="shared" si="99"/>
        <v>0</v>
      </c>
    </row>
    <row r="1297" spans="3:30" x14ac:dyDescent="0.4">
      <c r="C1297" t="str">
        <f t="shared" si="96"/>
        <v/>
      </c>
      <c r="T1297" s="9">
        <f t="shared" si="97"/>
        <v>0</v>
      </c>
      <c r="Z1297" s="9">
        <f t="shared" si="98"/>
        <v>0</v>
      </c>
      <c r="AD1297" s="9">
        <f t="shared" si="99"/>
        <v>0</v>
      </c>
    </row>
    <row r="1298" spans="3:30" x14ac:dyDescent="0.4">
      <c r="C1298" t="str">
        <f t="shared" si="96"/>
        <v/>
      </c>
      <c r="T1298" s="9">
        <f t="shared" si="97"/>
        <v>0</v>
      </c>
      <c r="Z1298" s="9">
        <f t="shared" si="98"/>
        <v>0</v>
      </c>
      <c r="AD1298" s="9">
        <f t="shared" si="99"/>
        <v>0</v>
      </c>
    </row>
    <row r="1299" spans="3:30" x14ac:dyDescent="0.4">
      <c r="C1299" t="str">
        <f t="shared" si="96"/>
        <v/>
      </c>
      <c r="T1299" s="9">
        <f t="shared" si="97"/>
        <v>0</v>
      </c>
      <c r="Z1299" s="9">
        <f t="shared" si="98"/>
        <v>0</v>
      </c>
      <c r="AD1299" s="9">
        <f t="shared" si="99"/>
        <v>0</v>
      </c>
    </row>
    <row r="1300" spans="3:30" x14ac:dyDescent="0.4">
      <c r="C1300" t="str">
        <f t="shared" si="96"/>
        <v/>
      </c>
      <c r="T1300" s="9">
        <f t="shared" si="97"/>
        <v>0</v>
      </c>
      <c r="Z1300" s="9">
        <f t="shared" si="98"/>
        <v>0</v>
      </c>
      <c r="AD1300" s="9">
        <f t="shared" si="99"/>
        <v>0</v>
      </c>
    </row>
    <row r="1301" spans="3:30" x14ac:dyDescent="0.4">
      <c r="C1301" t="str">
        <f t="shared" si="96"/>
        <v/>
      </c>
      <c r="T1301" s="9">
        <f t="shared" si="97"/>
        <v>0</v>
      </c>
      <c r="Z1301" s="9">
        <f t="shared" si="98"/>
        <v>0</v>
      </c>
      <c r="AD1301" s="9">
        <f t="shared" si="99"/>
        <v>0</v>
      </c>
    </row>
    <row r="1302" spans="3:30" x14ac:dyDescent="0.4">
      <c r="C1302" t="str">
        <f t="shared" si="96"/>
        <v/>
      </c>
      <c r="T1302" s="9">
        <f t="shared" si="97"/>
        <v>0</v>
      </c>
      <c r="Z1302" s="9">
        <f t="shared" si="98"/>
        <v>0</v>
      </c>
      <c r="AD1302" s="9">
        <f t="shared" si="99"/>
        <v>0</v>
      </c>
    </row>
    <row r="1303" spans="3:30" x14ac:dyDescent="0.4">
      <c r="C1303" t="str">
        <f t="shared" si="96"/>
        <v/>
      </c>
      <c r="T1303" s="9">
        <f t="shared" si="97"/>
        <v>0</v>
      </c>
      <c r="Z1303" s="9">
        <f t="shared" si="98"/>
        <v>0</v>
      </c>
      <c r="AD1303" s="9">
        <f t="shared" si="99"/>
        <v>0</v>
      </c>
    </row>
    <row r="1304" spans="3:30" x14ac:dyDescent="0.4">
      <c r="C1304" t="str">
        <f t="shared" si="96"/>
        <v/>
      </c>
      <c r="T1304" s="9">
        <f t="shared" si="97"/>
        <v>0</v>
      </c>
      <c r="Z1304" s="9">
        <f t="shared" si="98"/>
        <v>0</v>
      </c>
      <c r="AD1304" s="9">
        <f t="shared" si="99"/>
        <v>0</v>
      </c>
    </row>
    <row r="1305" spans="3:30" x14ac:dyDescent="0.4">
      <c r="C1305" t="str">
        <f t="shared" si="96"/>
        <v/>
      </c>
      <c r="T1305" s="9">
        <f t="shared" si="97"/>
        <v>0</v>
      </c>
      <c r="Z1305" s="9">
        <f t="shared" si="98"/>
        <v>0</v>
      </c>
      <c r="AD1305" s="9">
        <f t="shared" si="99"/>
        <v>0</v>
      </c>
    </row>
    <row r="1306" spans="3:30" x14ac:dyDescent="0.4">
      <c r="C1306" t="str">
        <f t="shared" si="96"/>
        <v/>
      </c>
      <c r="T1306" s="9">
        <f t="shared" si="97"/>
        <v>0</v>
      </c>
      <c r="Z1306" s="9">
        <f t="shared" si="98"/>
        <v>0</v>
      </c>
      <c r="AD1306" s="9">
        <f t="shared" si="99"/>
        <v>0</v>
      </c>
    </row>
    <row r="1307" spans="3:30" x14ac:dyDescent="0.4">
      <c r="C1307" t="str">
        <f t="shared" si="96"/>
        <v/>
      </c>
      <c r="T1307" s="9">
        <f t="shared" si="97"/>
        <v>0</v>
      </c>
      <c r="Z1307" s="9">
        <f t="shared" si="98"/>
        <v>0</v>
      </c>
      <c r="AD1307" s="9">
        <f t="shared" si="99"/>
        <v>0</v>
      </c>
    </row>
    <row r="1308" spans="3:30" x14ac:dyDescent="0.4">
      <c r="C1308" t="str">
        <f t="shared" si="96"/>
        <v/>
      </c>
      <c r="T1308" s="9">
        <f t="shared" si="97"/>
        <v>0</v>
      </c>
      <c r="Z1308" s="9">
        <f t="shared" si="98"/>
        <v>0</v>
      </c>
      <c r="AD1308" s="9">
        <f t="shared" si="99"/>
        <v>0</v>
      </c>
    </row>
    <row r="1309" spans="3:30" x14ac:dyDescent="0.4">
      <c r="C1309" t="str">
        <f t="shared" si="96"/>
        <v/>
      </c>
      <c r="T1309" s="9">
        <f t="shared" si="97"/>
        <v>0</v>
      </c>
      <c r="Z1309" s="9">
        <f t="shared" si="98"/>
        <v>0</v>
      </c>
      <c r="AD1309" s="9">
        <f t="shared" si="99"/>
        <v>0</v>
      </c>
    </row>
    <row r="1310" spans="3:30" x14ac:dyDescent="0.4">
      <c r="C1310" t="str">
        <f t="shared" si="96"/>
        <v/>
      </c>
      <c r="T1310" s="9">
        <f t="shared" si="97"/>
        <v>0</v>
      </c>
      <c r="Z1310" s="9">
        <f t="shared" si="98"/>
        <v>0</v>
      </c>
      <c r="AD1310" s="9">
        <f t="shared" si="99"/>
        <v>0</v>
      </c>
    </row>
    <row r="1311" spans="3:30" x14ac:dyDescent="0.4">
      <c r="C1311" t="str">
        <f t="shared" si="96"/>
        <v/>
      </c>
      <c r="T1311" s="9">
        <f t="shared" si="97"/>
        <v>0</v>
      </c>
      <c r="Z1311" s="9">
        <f t="shared" si="98"/>
        <v>0</v>
      </c>
      <c r="AD1311" s="9">
        <f t="shared" si="99"/>
        <v>0</v>
      </c>
    </row>
    <row r="1312" spans="3:30" x14ac:dyDescent="0.4">
      <c r="C1312" t="str">
        <f t="shared" si="96"/>
        <v/>
      </c>
      <c r="T1312" s="9">
        <f t="shared" si="97"/>
        <v>0</v>
      </c>
      <c r="Z1312" s="9">
        <f t="shared" si="98"/>
        <v>0</v>
      </c>
      <c r="AD1312" s="9">
        <f t="shared" si="99"/>
        <v>0</v>
      </c>
    </row>
    <row r="1313" spans="3:30" x14ac:dyDescent="0.4">
      <c r="C1313" t="str">
        <f t="shared" si="96"/>
        <v/>
      </c>
      <c r="T1313" s="9">
        <f t="shared" si="97"/>
        <v>0</v>
      </c>
      <c r="Z1313" s="9">
        <f t="shared" si="98"/>
        <v>0</v>
      </c>
      <c r="AD1313" s="9">
        <f t="shared" si="99"/>
        <v>0</v>
      </c>
    </row>
    <row r="1314" spans="3:30" x14ac:dyDescent="0.4">
      <c r="C1314" t="str">
        <f t="shared" si="96"/>
        <v/>
      </c>
      <c r="T1314" s="9">
        <f t="shared" si="97"/>
        <v>0</v>
      </c>
      <c r="Z1314" s="9">
        <f t="shared" si="98"/>
        <v>0</v>
      </c>
      <c r="AD1314" s="9">
        <f t="shared" si="99"/>
        <v>0</v>
      </c>
    </row>
    <row r="1315" spans="3:30" x14ac:dyDescent="0.4">
      <c r="C1315" t="str">
        <f t="shared" si="96"/>
        <v/>
      </c>
      <c r="T1315" s="9">
        <f t="shared" si="97"/>
        <v>0</v>
      </c>
      <c r="Z1315" s="9">
        <f t="shared" si="98"/>
        <v>0</v>
      </c>
      <c r="AD1315" s="9">
        <f t="shared" si="99"/>
        <v>0</v>
      </c>
    </row>
    <row r="1316" spans="3:30" x14ac:dyDescent="0.4">
      <c r="C1316" t="str">
        <f t="shared" si="96"/>
        <v/>
      </c>
      <c r="T1316" s="9">
        <f t="shared" si="97"/>
        <v>0</v>
      </c>
      <c r="Z1316" s="9">
        <f t="shared" si="98"/>
        <v>0</v>
      </c>
      <c r="AD1316" s="9">
        <f t="shared" si="99"/>
        <v>0</v>
      </c>
    </row>
    <row r="1317" spans="3:30" x14ac:dyDescent="0.4">
      <c r="C1317" t="str">
        <f t="shared" si="96"/>
        <v/>
      </c>
      <c r="T1317" s="9">
        <f t="shared" si="97"/>
        <v>0</v>
      </c>
      <c r="Z1317" s="9">
        <f t="shared" si="98"/>
        <v>0</v>
      </c>
      <c r="AD1317" s="9">
        <f t="shared" si="99"/>
        <v>0</v>
      </c>
    </row>
    <row r="1318" spans="3:30" x14ac:dyDescent="0.4">
      <c r="C1318" t="str">
        <f t="shared" si="96"/>
        <v/>
      </c>
      <c r="T1318" s="9">
        <f t="shared" si="97"/>
        <v>0</v>
      </c>
      <c r="Z1318" s="9">
        <f t="shared" si="98"/>
        <v>0</v>
      </c>
      <c r="AD1318" s="9">
        <f t="shared" si="99"/>
        <v>0</v>
      </c>
    </row>
    <row r="1319" spans="3:30" x14ac:dyDescent="0.4">
      <c r="C1319" t="str">
        <f t="shared" si="96"/>
        <v/>
      </c>
      <c r="T1319" s="9">
        <f t="shared" si="97"/>
        <v>0</v>
      </c>
      <c r="Z1319" s="9">
        <f t="shared" si="98"/>
        <v>0</v>
      </c>
      <c r="AD1319" s="9">
        <f t="shared" si="99"/>
        <v>0</v>
      </c>
    </row>
    <row r="1320" spans="3:30" x14ac:dyDescent="0.4">
      <c r="C1320" t="str">
        <f t="shared" si="96"/>
        <v/>
      </c>
      <c r="T1320" s="9">
        <f t="shared" si="97"/>
        <v>0</v>
      </c>
      <c r="Z1320" s="9">
        <f t="shared" si="98"/>
        <v>0</v>
      </c>
      <c r="AD1320" s="9">
        <f t="shared" si="99"/>
        <v>0</v>
      </c>
    </row>
    <row r="1321" spans="3:30" x14ac:dyDescent="0.4">
      <c r="C1321" t="str">
        <f t="shared" si="96"/>
        <v/>
      </c>
      <c r="T1321" s="9">
        <f t="shared" si="97"/>
        <v>0</v>
      </c>
      <c r="Z1321" s="9">
        <f t="shared" si="98"/>
        <v>0</v>
      </c>
      <c r="AD1321" s="9">
        <f t="shared" si="99"/>
        <v>0</v>
      </c>
    </row>
    <row r="1322" spans="3:30" x14ac:dyDescent="0.4">
      <c r="C1322" t="str">
        <f t="shared" si="96"/>
        <v/>
      </c>
      <c r="T1322" s="9">
        <f t="shared" si="97"/>
        <v>0</v>
      </c>
      <c r="Z1322" s="9">
        <f t="shared" si="98"/>
        <v>0</v>
      </c>
      <c r="AD1322" s="9">
        <f t="shared" si="99"/>
        <v>0</v>
      </c>
    </row>
    <row r="1323" spans="3:30" x14ac:dyDescent="0.4">
      <c r="C1323" t="str">
        <f t="shared" si="96"/>
        <v/>
      </c>
      <c r="T1323" s="9">
        <f t="shared" si="97"/>
        <v>0</v>
      </c>
      <c r="Z1323" s="9">
        <f t="shared" si="98"/>
        <v>0</v>
      </c>
      <c r="AD1323" s="9">
        <f t="shared" si="99"/>
        <v>0</v>
      </c>
    </row>
    <row r="1324" spans="3:30" x14ac:dyDescent="0.4">
      <c r="C1324" t="str">
        <f t="shared" si="96"/>
        <v/>
      </c>
      <c r="T1324" s="9">
        <f t="shared" si="97"/>
        <v>0</v>
      </c>
      <c r="Z1324" s="9">
        <f t="shared" si="98"/>
        <v>0</v>
      </c>
      <c r="AD1324" s="9">
        <f t="shared" si="99"/>
        <v>0</v>
      </c>
    </row>
    <row r="1325" spans="3:30" x14ac:dyDescent="0.4">
      <c r="C1325" t="str">
        <f t="shared" si="96"/>
        <v/>
      </c>
      <c r="T1325" s="9">
        <f t="shared" si="97"/>
        <v>0</v>
      </c>
      <c r="Z1325" s="9">
        <f t="shared" si="98"/>
        <v>0</v>
      </c>
      <c r="AD1325" s="9">
        <f t="shared" si="99"/>
        <v>0</v>
      </c>
    </row>
    <row r="1326" spans="3:30" x14ac:dyDescent="0.4">
      <c r="C1326" t="str">
        <f t="shared" si="96"/>
        <v/>
      </c>
      <c r="T1326" s="9">
        <f t="shared" si="97"/>
        <v>0</v>
      </c>
      <c r="Z1326" s="9">
        <f t="shared" si="98"/>
        <v>0</v>
      </c>
      <c r="AD1326" s="9">
        <f t="shared" si="99"/>
        <v>0</v>
      </c>
    </row>
    <row r="1327" spans="3:30" x14ac:dyDescent="0.4">
      <c r="C1327" t="str">
        <f t="shared" si="96"/>
        <v/>
      </c>
      <c r="T1327" s="9">
        <f t="shared" si="97"/>
        <v>0</v>
      </c>
      <c r="Z1327" s="9">
        <f t="shared" si="98"/>
        <v>0</v>
      </c>
      <c r="AD1327" s="9">
        <f t="shared" si="99"/>
        <v>0</v>
      </c>
    </row>
    <row r="1328" spans="3:30" x14ac:dyDescent="0.4">
      <c r="C1328" t="str">
        <f t="shared" si="96"/>
        <v/>
      </c>
      <c r="T1328" s="9">
        <f t="shared" si="97"/>
        <v>0</v>
      </c>
      <c r="Z1328" s="9">
        <f t="shared" si="98"/>
        <v>0</v>
      </c>
      <c r="AD1328" s="9">
        <f t="shared" si="99"/>
        <v>0</v>
      </c>
    </row>
    <row r="1329" spans="3:30" x14ac:dyDescent="0.4">
      <c r="C1329" t="str">
        <f t="shared" si="96"/>
        <v/>
      </c>
      <c r="T1329" s="9">
        <f t="shared" si="97"/>
        <v>0</v>
      </c>
      <c r="Z1329" s="9">
        <f t="shared" si="98"/>
        <v>0</v>
      </c>
      <c r="AD1329" s="9">
        <f t="shared" si="99"/>
        <v>0</v>
      </c>
    </row>
    <row r="1330" spans="3:30" x14ac:dyDescent="0.4">
      <c r="C1330" t="str">
        <f t="shared" si="96"/>
        <v/>
      </c>
      <c r="T1330" s="9">
        <f t="shared" si="97"/>
        <v>0</v>
      </c>
      <c r="Z1330" s="9">
        <f t="shared" si="98"/>
        <v>0</v>
      </c>
      <c r="AD1330" s="9">
        <f t="shared" si="99"/>
        <v>0</v>
      </c>
    </row>
    <row r="1331" spans="3:30" x14ac:dyDescent="0.4">
      <c r="C1331" t="str">
        <f t="shared" si="96"/>
        <v/>
      </c>
      <c r="T1331" s="9">
        <f t="shared" si="97"/>
        <v>0</v>
      </c>
      <c r="Z1331" s="9">
        <f t="shared" si="98"/>
        <v>0</v>
      </c>
      <c r="AD1331" s="9">
        <f t="shared" si="99"/>
        <v>0</v>
      </c>
    </row>
    <row r="1332" spans="3:30" x14ac:dyDescent="0.4">
      <c r="C1332" t="str">
        <f t="shared" si="96"/>
        <v/>
      </c>
      <c r="T1332" s="9">
        <f t="shared" si="97"/>
        <v>0</v>
      </c>
      <c r="Z1332" s="9">
        <f t="shared" si="98"/>
        <v>0</v>
      </c>
      <c r="AD1332" s="9">
        <f t="shared" si="99"/>
        <v>0</v>
      </c>
    </row>
    <row r="1333" spans="3:30" x14ac:dyDescent="0.4">
      <c r="C1333" t="str">
        <f t="shared" si="96"/>
        <v/>
      </c>
      <c r="T1333" s="9">
        <f t="shared" si="97"/>
        <v>0</v>
      </c>
      <c r="Z1333" s="9">
        <f t="shared" si="98"/>
        <v>0</v>
      </c>
      <c r="AD1333" s="9">
        <f t="shared" si="99"/>
        <v>0</v>
      </c>
    </row>
    <row r="1334" spans="3:30" x14ac:dyDescent="0.4">
      <c r="C1334" t="str">
        <f t="shared" si="96"/>
        <v/>
      </c>
      <c r="T1334" s="9">
        <f t="shared" si="97"/>
        <v>0</v>
      </c>
      <c r="Z1334" s="9">
        <f t="shared" si="98"/>
        <v>0</v>
      </c>
      <c r="AD1334" s="9">
        <f t="shared" si="99"/>
        <v>0</v>
      </c>
    </row>
    <row r="1335" spans="3:30" x14ac:dyDescent="0.4">
      <c r="C1335" t="str">
        <f t="shared" si="96"/>
        <v/>
      </c>
      <c r="T1335" s="9">
        <f t="shared" si="97"/>
        <v>0</v>
      </c>
      <c r="Z1335" s="9">
        <f t="shared" si="98"/>
        <v>0</v>
      </c>
      <c r="AD1335" s="9">
        <f t="shared" si="99"/>
        <v>0</v>
      </c>
    </row>
    <row r="1336" spans="3:30" x14ac:dyDescent="0.4">
      <c r="C1336" t="str">
        <f t="shared" si="96"/>
        <v/>
      </c>
      <c r="T1336" s="9">
        <f t="shared" si="97"/>
        <v>0</v>
      </c>
      <c r="Z1336" s="9">
        <f t="shared" si="98"/>
        <v>0</v>
      </c>
      <c r="AD1336" s="9">
        <f t="shared" si="99"/>
        <v>0</v>
      </c>
    </row>
    <row r="1337" spans="3:30" x14ac:dyDescent="0.4">
      <c r="C1337" t="str">
        <f t="shared" si="96"/>
        <v/>
      </c>
      <c r="T1337" s="9">
        <f t="shared" si="97"/>
        <v>0</v>
      </c>
      <c r="Z1337" s="9">
        <f t="shared" si="98"/>
        <v>0</v>
      </c>
      <c r="AD1337" s="9">
        <f t="shared" si="99"/>
        <v>0</v>
      </c>
    </row>
    <row r="1338" spans="3:30" x14ac:dyDescent="0.4">
      <c r="C1338" t="str">
        <f t="shared" si="96"/>
        <v/>
      </c>
      <c r="T1338" s="9">
        <f t="shared" si="97"/>
        <v>0</v>
      </c>
      <c r="Z1338" s="9">
        <f t="shared" si="98"/>
        <v>0</v>
      </c>
      <c r="AD1338" s="9">
        <f t="shared" si="99"/>
        <v>0</v>
      </c>
    </row>
    <row r="1339" spans="3:30" x14ac:dyDescent="0.4">
      <c r="C1339" t="str">
        <f t="shared" si="96"/>
        <v/>
      </c>
      <c r="T1339" s="9">
        <f t="shared" si="97"/>
        <v>0</v>
      </c>
      <c r="Z1339" s="9">
        <f t="shared" si="98"/>
        <v>0</v>
      </c>
      <c r="AD1339" s="9">
        <f t="shared" si="99"/>
        <v>0</v>
      </c>
    </row>
    <row r="1340" spans="3:30" x14ac:dyDescent="0.4">
      <c r="C1340" t="str">
        <f t="shared" si="96"/>
        <v/>
      </c>
      <c r="T1340" s="9">
        <f t="shared" si="97"/>
        <v>0</v>
      </c>
      <c r="Z1340" s="9">
        <f t="shared" si="98"/>
        <v>0</v>
      </c>
      <c r="AD1340" s="9">
        <f t="shared" si="99"/>
        <v>0</v>
      </c>
    </row>
    <row r="1341" spans="3:30" x14ac:dyDescent="0.4">
      <c r="C1341" t="str">
        <f t="shared" si="96"/>
        <v/>
      </c>
      <c r="T1341" s="9">
        <f t="shared" si="97"/>
        <v>0</v>
      </c>
      <c r="Z1341" s="9">
        <f t="shared" si="98"/>
        <v>0</v>
      </c>
      <c r="AD1341" s="9">
        <f t="shared" si="99"/>
        <v>0</v>
      </c>
    </row>
    <row r="1342" spans="3:30" x14ac:dyDescent="0.4">
      <c r="C1342" t="str">
        <f t="shared" si="96"/>
        <v/>
      </c>
      <c r="T1342" s="9">
        <f t="shared" si="97"/>
        <v>0</v>
      </c>
      <c r="Z1342" s="9">
        <f t="shared" si="98"/>
        <v>0</v>
      </c>
      <c r="AD1342" s="9">
        <f t="shared" si="99"/>
        <v>0</v>
      </c>
    </row>
    <row r="1343" spans="3:30" x14ac:dyDescent="0.4">
      <c r="C1343" t="str">
        <f t="shared" si="96"/>
        <v/>
      </c>
      <c r="T1343" s="9">
        <f t="shared" si="97"/>
        <v>0</v>
      </c>
      <c r="Z1343" s="9">
        <f t="shared" si="98"/>
        <v>0</v>
      </c>
      <c r="AD1343" s="9">
        <f t="shared" si="99"/>
        <v>0</v>
      </c>
    </row>
    <row r="1344" spans="3:30" x14ac:dyDescent="0.4">
      <c r="C1344" t="str">
        <f t="shared" si="96"/>
        <v/>
      </c>
      <c r="T1344" s="9">
        <f t="shared" si="97"/>
        <v>0</v>
      </c>
      <c r="Z1344" s="9">
        <f t="shared" si="98"/>
        <v>0</v>
      </c>
      <c r="AD1344" s="9">
        <f t="shared" si="99"/>
        <v>0</v>
      </c>
    </row>
    <row r="1345" spans="3:30" x14ac:dyDescent="0.4">
      <c r="C1345" t="str">
        <f t="shared" si="96"/>
        <v/>
      </c>
      <c r="T1345" s="9">
        <f t="shared" si="97"/>
        <v>0</v>
      </c>
      <c r="Z1345" s="9">
        <f t="shared" si="98"/>
        <v>0</v>
      </c>
      <c r="AD1345" s="9">
        <f t="shared" si="99"/>
        <v>0</v>
      </c>
    </row>
    <row r="1346" spans="3:30" x14ac:dyDescent="0.4">
      <c r="C1346" t="str">
        <f t="shared" si="96"/>
        <v/>
      </c>
      <c r="T1346" s="9">
        <f t="shared" si="97"/>
        <v>0</v>
      </c>
      <c r="Z1346" s="9">
        <f t="shared" si="98"/>
        <v>0</v>
      </c>
      <c r="AD1346" s="9">
        <f t="shared" si="99"/>
        <v>0</v>
      </c>
    </row>
    <row r="1347" spans="3:30" x14ac:dyDescent="0.4">
      <c r="C1347" t="str">
        <f t="shared" ref="C1347:C1410" si="100">IF(A1347="","",$J$1&amp;"\"&amp;A1347)</f>
        <v/>
      </c>
      <c r="T1347" s="9">
        <f t="shared" si="97"/>
        <v>0</v>
      </c>
      <c r="Z1347" s="9">
        <f t="shared" si="98"/>
        <v>0</v>
      </c>
      <c r="AD1347" s="9">
        <f t="shared" si="99"/>
        <v>0</v>
      </c>
    </row>
    <row r="1348" spans="3:30" x14ac:dyDescent="0.4">
      <c r="C1348" t="str">
        <f t="shared" si="100"/>
        <v/>
      </c>
      <c r="T1348" s="9">
        <f t="shared" si="97"/>
        <v>0</v>
      </c>
      <c r="Z1348" s="9">
        <f t="shared" si="98"/>
        <v>0</v>
      </c>
      <c r="AD1348" s="9">
        <f t="shared" si="99"/>
        <v>0</v>
      </c>
    </row>
    <row r="1349" spans="3:30" x14ac:dyDescent="0.4">
      <c r="C1349" t="str">
        <f t="shared" si="100"/>
        <v/>
      </c>
      <c r="T1349" s="9">
        <f t="shared" si="97"/>
        <v>0</v>
      </c>
      <c r="Z1349" s="9">
        <f t="shared" si="98"/>
        <v>0</v>
      </c>
      <c r="AD1349" s="9">
        <f t="shared" si="99"/>
        <v>0</v>
      </c>
    </row>
    <row r="1350" spans="3:30" x14ac:dyDescent="0.4">
      <c r="C1350" t="str">
        <f t="shared" si="100"/>
        <v/>
      </c>
      <c r="T1350" s="9">
        <f t="shared" si="97"/>
        <v>0</v>
      </c>
      <c r="Z1350" s="9">
        <f t="shared" si="98"/>
        <v>0</v>
      </c>
      <c r="AD1350" s="9">
        <f t="shared" si="99"/>
        <v>0</v>
      </c>
    </row>
    <row r="1351" spans="3:30" x14ac:dyDescent="0.4">
      <c r="C1351" t="str">
        <f t="shared" si="100"/>
        <v/>
      </c>
      <c r="T1351" s="9">
        <f t="shared" si="97"/>
        <v>0</v>
      </c>
      <c r="Z1351" s="9">
        <f t="shared" si="98"/>
        <v>0</v>
      </c>
      <c r="AD1351" s="9">
        <f t="shared" si="99"/>
        <v>0</v>
      </c>
    </row>
    <row r="1352" spans="3:30" x14ac:dyDescent="0.4">
      <c r="C1352" t="str">
        <f t="shared" si="100"/>
        <v/>
      </c>
      <c r="T1352" s="9">
        <f t="shared" ref="T1352:T1415" si="101">(COUNTIFS(TH_TK,N1352,TH_DuNo,O1352,TH_DuNoNT,P1352,TH_DuCo,Q1352,TH_DuCoNT,R1352,TH_SoLuong,S1352)&gt;0)*1</f>
        <v>0</v>
      </c>
      <c r="Z1352" s="9">
        <f t="shared" ref="Z1352:Z1415" si="102">(COUNTIFS(NV,U1352,TK,V1352,TongNo,W1352,TongCo,X1352,SoLuong,Y1352)&gt;0)*1</f>
        <v>0</v>
      </c>
      <c r="AD1352" s="9">
        <f t="shared" ref="AD1352:AD1415" si="103">COUNTIFS(ReportType,AA1352,ItemCode,AB1352,Amount,AC1352)</f>
        <v>0</v>
      </c>
    </row>
    <row r="1353" spans="3:30" x14ac:dyDescent="0.4">
      <c r="C1353" t="str">
        <f t="shared" si="100"/>
        <v/>
      </c>
      <c r="T1353" s="9">
        <f t="shared" si="101"/>
        <v>0</v>
      </c>
      <c r="Z1353" s="9">
        <f t="shared" si="102"/>
        <v>0</v>
      </c>
      <c r="AD1353" s="9">
        <f t="shared" si="103"/>
        <v>0</v>
      </c>
    </row>
    <row r="1354" spans="3:30" x14ac:dyDescent="0.4">
      <c r="C1354" t="str">
        <f t="shared" si="100"/>
        <v/>
      </c>
      <c r="T1354" s="9">
        <f t="shared" si="101"/>
        <v>0</v>
      </c>
      <c r="Z1354" s="9">
        <f t="shared" si="102"/>
        <v>0</v>
      </c>
      <c r="AD1354" s="9">
        <f t="shared" si="103"/>
        <v>0</v>
      </c>
    </row>
    <row r="1355" spans="3:30" x14ac:dyDescent="0.4">
      <c r="C1355" t="str">
        <f t="shared" si="100"/>
        <v/>
      </c>
      <c r="T1355" s="9">
        <f t="shared" si="101"/>
        <v>0</v>
      </c>
      <c r="Z1355" s="9">
        <f t="shared" si="102"/>
        <v>0</v>
      </c>
      <c r="AD1355" s="9">
        <f t="shared" si="103"/>
        <v>0</v>
      </c>
    </row>
    <row r="1356" spans="3:30" x14ac:dyDescent="0.4">
      <c r="C1356" t="str">
        <f t="shared" si="100"/>
        <v/>
      </c>
      <c r="T1356" s="9">
        <f t="shared" si="101"/>
        <v>0</v>
      </c>
      <c r="Z1356" s="9">
        <f t="shared" si="102"/>
        <v>0</v>
      </c>
      <c r="AD1356" s="9">
        <f t="shared" si="103"/>
        <v>0</v>
      </c>
    </row>
    <row r="1357" spans="3:30" x14ac:dyDescent="0.4">
      <c r="C1357" t="str">
        <f t="shared" si="100"/>
        <v/>
      </c>
      <c r="T1357" s="9">
        <f t="shared" si="101"/>
        <v>0</v>
      </c>
      <c r="Z1357" s="9">
        <f t="shared" si="102"/>
        <v>0</v>
      </c>
      <c r="AD1357" s="9">
        <f t="shared" si="103"/>
        <v>0</v>
      </c>
    </row>
    <row r="1358" spans="3:30" x14ac:dyDescent="0.4">
      <c r="C1358" t="str">
        <f t="shared" si="100"/>
        <v/>
      </c>
      <c r="T1358" s="9">
        <f t="shared" si="101"/>
        <v>0</v>
      </c>
      <c r="Z1358" s="9">
        <f t="shared" si="102"/>
        <v>0</v>
      </c>
      <c r="AD1358" s="9">
        <f t="shared" si="103"/>
        <v>0</v>
      </c>
    </row>
    <row r="1359" spans="3:30" x14ac:dyDescent="0.4">
      <c r="C1359" t="str">
        <f t="shared" si="100"/>
        <v/>
      </c>
      <c r="T1359" s="9">
        <f t="shared" si="101"/>
        <v>0</v>
      </c>
      <c r="Z1359" s="9">
        <f t="shared" si="102"/>
        <v>0</v>
      </c>
      <c r="AD1359" s="9">
        <f t="shared" si="103"/>
        <v>0</v>
      </c>
    </row>
    <row r="1360" spans="3:30" x14ac:dyDescent="0.4">
      <c r="C1360" t="str">
        <f t="shared" si="100"/>
        <v/>
      </c>
      <c r="T1360" s="9">
        <f t="shared" si="101"/>
        <v>0</v>
      </c>
      <c r="Z1360" s="9">
        <f t="shared" si="102"/>
        <v>0</v>
      </c>
      <c r="AD1360" s="9">
        <f t="shared" si="103"/>
        <v>0</v>
      </c>
    </row>
    <row r="1361" spans="3:30" x14ac:dyDescent="0.4">
      <c r="C1361" t="str">
        <f t="shared" si="100"/>
        <v/>
      </c>
      <c r="T1361" s="9">
        <f t="shared" si="101"/>
        <v>0</v>
      </c>
      <c r="Z1361" s="9">
        <f t="shared" si="102"/>
        <v>0</v>
      </c>
      <c r="AD1361" s="9">
        <f t="shared" si="103"/>
        <v>0</v>
      </c>
    </row>
    <row r="1362" spans="3:30" x14ac:dyDescent="0.4">
      <c r="C1362" t="str">
        <f t="shared" si="100"/>
        <v/>
      </c>
      <c r="T1362" s="9">
        <f t="shared" si="101"/>
        <v>0</v>
      </c>
      <c r="Z1362" s="9">
        <f t="shared" si="102"/>
        <v>0</v>
      </c>
      <c r="AD1362" s="9">
        <f t="shared" si="103"/>
        <v>0</v>
      </c>
    </row>
    <row r="1363" spans="3:30" x14ac:dyDescent="0.4">
      <c r="C1363" t="str">
        <f t="shared" si="100"/>
        <v/>
      </c>
      <c r="T1363" s="9">
        <f t="shared" si="101"/>
        <v>0</v>
      </c>
      <c r="Z1363" s="9">
        <f t="shared" si="102"/>
        <v>0</v>
      </c>
      <c r="AD1363" s="9">
        <f t="shared" si="103"/>
        <v>0</v>
      </c>
    </row>
    <row r="1364" spans="3:30" x14ac:dyDescent="0.4">
      <c r="C1364" t="str">
        <f t="shared" si="100"/>
        <v/>
      </c>
      <c r="T1364" s="9">
        <f t="shared" si="101"/>
        <v>0</v>
      </c>
      <c r="Z1364" s="9">
        <f t="shared" si="102"/>
        <v>0</v>
      </c>
      <c r="AD1364" s="9">
        <f t="shared" si="103"/>
        <v>0</v>
      </c>
    </row>
    <row r="1365" spans="3:30" x14ac:dyDescent="0.4">
      <c r="C1365" t="str">
        <f t="shared" si="100"/>
        <v/>
      </c>
      <c r="T1365" s="9">
        <f t="shared" si="101"/>
        <v>0</v>
      </c>
      <c r="Z1365" s="9">
        <f t="shared" si="102"/>
        <v>0</v>
      </c>
      <c r="AD1365" s="9">
        <f t="shared" si="103"/>
        <v>0</v>
      </c>
    </row>
    <row r="1366" spans="3:30" x14ac:dyDescent="0.4">
      <c r="C1366" t="str">
        <f t="shared" si="100"/>
        <v/>
      </c>
      <c r="T1366" s="9">
        <f t="shared" si="101"/>
        <v>0</v>
      </c>
      <c r="Z1366" s="9">
        <f t="shared" si="102"/>
        <v>0</v>
      </c>
      <c r="AD1366" s="9">
        <f t="shared" si="103"/>
        <v>0</v>
      </c>
    </row>
    <row r="1367" spans="3:30" x14ac:dyDescent="0.4">
      <c r="C1367" t="str">
        <f t="shared" si="100"/>
        <v/>
      </c>
      <c r="T1367" s="9">
        <f t="shared" si="101"/>
        <v>0</v>
      </c>
      <c r="Z1367" s="9">
        <f t="shared" si="102"/>
        <v>0</v>
      </c>
      <c r="AD1367" s="9">
        <f t="shared" si="103"/>
        <v>0</v>
      </c>
    </row>
    <row r="1368" spans="3:30" x14ac:dyDescent="0.4">
      <c r="C1368" t="str">
        <f t="shared" si="100"/>
        <v/>
      </c>
      <c r="T1368" s="9">
        <f t="shared" si="101"/>
        <v>0</v>
      </c>
      <c r="Z1368" s="9">
        <f t="shared" si="102"/>
        <v>0</v>
      </c>
      <c r="AD1368" s="9">
        <f t="shared" si="103"/>
        <v>0</v>
      </c>
    </row>
    <row r="1369" spans="3:30" x14ac:dyDescent="0.4">
      <c r="C1369" t="str">
        <f t="shared" si="100"/>
        <v/>
      </c>
      <c r="T1369" s="9">
        <f t="shared" si="101"/>
        <v>0</v>
      </c>
      <c r="Z1369" s="9">
        <f t="shared" si="102"/>
        <v>0</v>
      </c>
      <c r="AD1369" s="9">
        <f t="shared" si="103"/>
        <v>0</v>
      </c>
    </row>
    <row r="1370" spans="3:30" x14ac:dyDescent="0.4">
      <c r="C1370" t="str">
        <f t="shared" si="100"/>
        <v/>
      </c>
      <c r="T1370" s="9">
        <f t="shared" si="101"/>
        <v>0</v>
      </c>
      <c r="Z1370" s="9">
        <f t="shared" si="102"/>
        <v>0</v>
      </c>
      <c r="AD1370" s="9">
        <f t="shared" si="103"/>
        <v>0</v>
      </c>
    </row>
    <row r="1371" spans="3:30" x14ac:dyDescent="0.4">
      <c r="C1371" t="str">
        <f t="shared" si="100"/>
        <v/>
      </c>
      <c r="T1371" s="9">
        <f t="shared" si="101"/>
        <v>0</v>
      </c>
      <c r="Z1371" s="9">
        <f t="shared" si="102"/>
        <v>0</v>
      </c>
      <c r="AD1371" s="9">
        <f t="shared" si="103"/>
        <v>0</v>
      </c>
    </row>
    <row r="1372" spans="3:30" x14ac:dyDescent="0.4">
      <c r="C1372" t="str">
        <f t="shared" si="100"/>
        <v/>
      </c>
      <c r="T1372" s="9">
        <f t="shared" si="101"/>
        <v>0</v>
      </c>
      <c r="Z1372" s="9">
        <f t="shared" si="102"/>
        <v>0</v>
      </c>
      <c r="AD1372" s="9">
        <f t="shared" si="103"/>
        <v>0</v>
      </c>
    </row>
    <row r="1373" spans="3:30" x14ac:dyDescent="0.4">
      <c r="C1373" t="str">
        <f t="shared" si="100"/>
        <v/>
      </c>
      <c r="T1373" s="9">
        <f t="shared" si="101"/>
        <v>0</v>
      </c>
      <c r="Z1373" s="9">
        <f t="shared" si="102"/>
        <v>0</v>
      </c>
      <c r="AD1373" s="9">
        <f t="shared" si="103"/>
        <v>0</v>
      </c>
    </row>
    <row r="1374" spans="3:30" x14ac:dyDescent="0.4">
      <c r="C1374" t="str">
        <f t="shared" si="100"/>
        <v/>
      </c>
      <c r="T1374" s="9">
        <f t="shared" si="101"/>
        <v>0</v>
      </c>
      <c r="Z1374" s="9">
        <f t="shared" si="102"/>
        <v>0</v>
      </c>
      <c r="AD1374" s="9">
        <f t="shared" si="103"/>
        <v>0</v>
      </c>
    </row>
    <row r="1375" spans="3:30" x14ac:dyDescent="0.4">
      <c r="C1375" t="str">
        <f t="shared" si="100"/>
        <v/>
      </c>
      <c r="T1375" s="9">
        <f t="shared" si="101"/>
        <v>0</v>
      </c>
      <c r="Z1375" s="9">
        <f t="shared" si="102"/>
        <v>0</v>
      </c>
      <c r="AD1375" s="9">
        <f t="shared" si="103"/>
        <v>0</v>
      </c>
    </row>
    <row r="1376" spans="3:30" x14ac:dyDescent="0.4">
      <c r="C1376" t="str">
        <f t="shared" si="100"/>
        <v/>
      </c>
      <c r="T1376" s="9">
        <f t="shared" si="101"/>
        <v>0</v>
      </c>
      <c r="Z1376" s="9">
        <f t="shared" si="102"/>
        <v>0</v>
      </c>
      <c r="AD1376" s="9">
        <f t="shared" si="103"/>
        <v>0</v>
      </c>
    </row>
    <row r="1377" spans="3:30" x14ac:dyDescent="0.4">
      <c r="C1377" t="str">
        <f t="shared" si="100"/>
        <v/>
      </c>
      <c r="T1377" s="9">
        <f t="shared" si="101"/>
        <v>0</v>
      </c>
      <c r="Z1377" s="9">
        <f t="shared" si="102"/>
        <v>0</v>
      </c>
      <c r="AD1377" s="9">
        <f t="shared" si="103"/>
        <v>0</v>
      </c>
    </row>
    <row r="1378" spans="3:30" x14ac:dyDescent="0.4">
      <c r="C1378" t="str">
        <f t="shared" si="100"/>
        <v/>
      </c>
      <c r="T1378" s="9">
        <f t="shared" si="101"/>
        <v>0</v>
      </c>
      <c r="Z1378" s="9">
        <f t="shared" si="102"/>
        <v>0</v>
      </c>
      <c r="AD1378" s="9">
        <f t="shared" si="103"/>
        <v>0</v>
      </c>
    </row>
    <row r="1379" spans="3:30" x14ac:dyDescent="0.4">
      <c r="C1379" t="str">
        <f t="shared" si="100"/>
        <v/>
      </c>
      <c r="T1379" s="9">
        <f t="shared" si="101"/>
        <v>0</v>
      </c>
      <c r="Z1379" s="9">
        <f t="shared" si="102"/>
        <v>0</v>
      </c>
      <c r="AD1379" s="9">
        <f t="shared" si="103"/>
        <v>0</v>
      </c>
    </row>
    <row r="1380" spans="3:30" x14ac:dyDescent="0.4">
      <c r="C1380" t="str">
        <f t="shared" si="100"/>
        <v/>
      </c>
      <c r="T1380" s="9">
        <f t="shared" si="101"/>
        <v>0</v>
      </c>
      <c r="Z1380" s="9">
        <f t="shared" si="102"/>
        <v>0</v>
      </c>
      <c r="AD1380" s="9">
        <f t="shared" si="103"/>
        <v>0</v>
      </c>
    </row>
    <row r="1381" spans="3:30" x14ac:dyDescent="0.4">
      <c r="C1381" t="str">
        <f t="shared" si="100"/>
        <v/>
      </c>
      <c r="T1381" s="9">
        <f t="shared" si="101"/>
        <v>0</v>
      </c>
      <c r="Z1381" s="9">
        <f t="shared" si="102"/>
        <v>0</v>
      </c>
      <c r="AD1381" s="9">
        <f t="shared" si="103"/>
        <v>0</v>
      </c>
    </row>
    <row r="1382" spans="3:30" x14ac:dyDescent="0.4">
      <c r="C1382" t="str">
        <f t="shared" si="100"/>
        <v/>
      </c>
      <c r="T1382" s="9">
        <f t="shared" si="101"/>
        <v>0</v>
      </c>
      <c r="Z1382" s="9">
        <f t="shared" si="102"/>
        <v>0</v>
      </c>
      <c r="AD1382" s="9">
        <f t="shared" si="103"/>
        <v>0</v>
      </c>
    </row>
    <row r="1383" spans="3:30" x14ac:dyDescent="0.4">
      <c r="C1383" t="str">
        <f t="shared" si="100"/>
        <v/>
      </c>
      <c r="T1383" s="9">
        <f t="shared" si="101"/>
        <v>0</v>
      </c>
      <c r="Z1383" s="9">
        <f t="shared" si="102"/>
        <v>0</v>
      </c>
      <c r="AD1383" s="9">
        <f t="shared" si="103"/>
        <v>0</v>
      </c>
    </row>
    <row r="1384" spans="3:30" x14ac:dyDescent="0.4">
      <c r="C1384" t="str">
        <f t="shared" si="100"/>
        <v/>
      </c>
      <c r="T1384" s="9">
        <f t="shared" si="101"/>
        <v>0</v>
      </c>
      <c r="Z1384" s="9">
        <f t="shared" si="102"/>
        <v>0</v>
      </c>
      <c r="AD1384" s="9">
        <f t="shared" si="103"/>
        <v>0</v>
      </c>
    </row>
    <row r="1385" spans="3:30" x14ac:dyDescent="0.4">
      <c r="C1385" t="str">
        <f t="shared" si="100"/>
        <v/>
      </c>
      <c r="T1385" s="9">
        <f t="shared" si="101"/>
        <v>0</v>
      </c>
      <c r="Z1385" s="9">
        <f t="shared" si="102"/>
        <v>0</v>
      </c>
      <c r="AD1385" s="9">
        <f t="shared" si="103"/>
        <v>0</v>
      </c>
    </row>
    <row r="1386" spans="3:30" x14ac:dyDescent="0.4">
      <c r="C1386" t="str">
        <f t="shared" si="100"/>
        <v/>
      </c>
      <c r="T1386" s="9">
        <f t="shared" si="101"/>
        <v>0</v>
      </c>
      <c r="Z1386" s="9">
        <f t="shared" si="102"/>
        <v>0</v>
      </c>
      <c r="AD1386" s="9">
        <f t="shared" si="103"/>
        <v>0</v>
      </c>
    </row>
    <row r="1387" spans="3:30" x14ac:dyDescent="0.4">
      <c r="C1387" t="str">
        <f t="shared" si="100"/>
        <v/>
      </c>
      <c r="T1387" s="9">
        <f t="shared" si="101"/>
        <v>0</v>
      </c>
      <c r="Z1387" s="9">
        <f t="shared" si="102"/>
        <v>0</v>
      </c>
      <c r="AD1387" s="9">
        <f t="shared" si="103"/>
        <v>0</v>
      </c>
    </row>
    <row r="1388" spans="3:30" x14ac:dyDescent="0.4">
      <c r="C1388" t="str">
        <f t="shared" si="100"/>
        <v/>
      </c>
      <c r="T1388" s="9">
        <f t="shared" si="101"/>
        <v>0</v>
      </c>
      <c r="Z1388" s="9">
        <f t="shared" si="102"/>
        <v>0</v>
      </c>
      <c r="AD1388" s="9">
        <f t="shared" si="103"/>
        <v>0</v>
      </c>
    </row>
    <row r="1389" spans="3:30" x14ac:dyDescent="0.4">
      <c r="C1389" t="str">
        <f t="shared" si="100"/>
        <v/>
      </c>
      <c r="T1389" s="9">
        <f t="shared" si="101"/>
        <v>0</v>
      </c>
      <c r="Z1389" s="9">
        <f t="shared" si="102"/>
        <v>0</v>
      </c>
      <c r="AD1389" s="9">
        <f t="shared" si="103"/>
        <v>0</v>
      </c>
    </row>
    <row r="1390" spans="3:30" x14ac:dyDescent="0.4">
      <c r="C1390" t="str">
        <f t="shared" si="100"/>
        <v/>
      </c>
      <c r="T1390" s="9">
        <f t="shared" si="101"/>
        <v>0</v>
      </c>
      <c r="Z1390" s="9">
        <f t="shared" si="102"/>
        <v>0</v>
      </c>
      <c r="AD1390" s="9">
        <f t="shared" si="103"/>
        <v>0</v>
      </c>
    </row>
    <row r="1391" spans="3:30" x14ac:dyDescent="0.4">
      <c r="C1391" t="str">
        <f t="shared" si="100"/>
        <v/>
      </c>
      <c r="T1391" s="9">
        <f t="shared" si="101"/>
        <v>0</v>
      </c>
      <c r="Z1391" s="9">
        <f t="shared" si="102"/>
        <v>0</v>
      </c>
      <c r="AD1391" s="9">
        <f t="shared" si="103"/>
        <v>0</v>
      </c>
    </row>
    <row r="1392" spans="3:30" x14ac:dyDescent="0.4">
      <c r="C1392" t="str">
        <f t="shared" si="100"/>
        <v/>
      </c>
      <c r="T1392" s="9">
        <f t="shared" si="101"/>
        <v>0</v>
      </c>
      <c r="Z1392" s="9">
        <f t="shared" si="102"/>
        <v>0</v>
      </c>
      <c r="AD1392" s="9">
        <f t="shared" si="103"/>
        <v>0</v>
      </c>
    </row>
    <row r="1393" spans="3:30" x14ac:dyDescent="0.4">
      <c r="C1393" t="str">
        <f t="shared" si="100"/>
        <v/>
      </c>
      <c r="T1393" s="9">
        <f t="shared" si="101"/>
        <v>0</v>
      </c>
      <c r="Z1393" s="9">
        <f t="shared" si="102"/>
        <v>0</v>
      </c>
      <c r="AD1393" s="9">
        <f t="shared" si="103"/>
        <v>0</v>
      </c>
    </row>
    <row r="1394" spans="3:30" x14ac:dyDescent="0.4">
      <c r="C1394" t="str">
        <f t="shared" si="100"/>
        <v/>
      </c>
      <c r="T1394" s="9">
        <f t="shared" si="101"/>
        <v>0</v>
      </c>
      <c r="Z1394" s="9">
        <f t="shared" si="102"/>
        <v>0</v>
      </c>
      <c r="AD1394" s="9">
        <f t="shared" si="103"/>
        <v>0</v>
      </c>
    </row>
    <row r="1395" spans="3:30" x14ac:dyDescent="0.4">
      <c r="C1395" t="str">
        <f t="shared" si="100"/>
        <v/>
      </c>
      <c r="T1395" s="9">
        <f t="shared" si="101"/>
        <v>0</v>
      </c>
      <c r="Z1395" s="9">
        <f t="shared" si="102"/>
        <v>0</v>
      </c>
      <c r="AD1395" s="9">
        <f t="shared" si="103"/>
        <v>0</v>
      </c>
    </row>
    <row r="1396" spans="3:30" x14ac:dyDescent="0.4">
      <c r="C1396" t="str">
        <f t="shared" si="100"/>
        <v/>
      </c>
      <c r="T1396" s="9">
        <f t="shared" si="101"/>
        <v>0</v>
      </c>
      <c r="Z1396" s="9">
        <f t="shared" si="102"/>
        <v>0</v>
      </c>
      <c r="AD1396" s="9">
        <f t="shared" si="103"/>
        <v>0</v>
      </c>
    </row>
    <row r="1397" spans="3:30" x14ac:dyDescent="0.4">
      <c r="C1397" t="str">
        <f t="shared" si="100"/>
        <v/>
      </c>
      <c r="T1397" s="9">
        <f t="shared" si="101"/>
        <v>0</v>
      </c>
      <c r="Z1397" s="9">
        <f t="shared" si="102"/>
        <v>0</v>
      </c>
      <c r="AD1397" s="9">
        <f t="shared" si="103"/>
        <v>0</v>
      </c>
    </row>
    <row r="1398" spans="3:30" x14ac:dyDescent="0.4">
      <c r="C1398" t="str">
        <f t="shared" si="100"/>
        <v/>
      </c>
      <c r="T1398" s="9">
        <f t="shared" si="101"/>
        <v>0</v>
      </c>
      <c r="Z1398" s="9">
        <f t="shared" si="102"/>
        <v>0</v>
      </c>
      <c r="AD1398" s="9">
        <f t="shared" si="103"/>
        <v>0</v>
      </c>
    </row>
    <row r="1399" spans="3:30" x14ac:dyDescent="0.4">
      <c r="C1399" t="str">
        <f t="shared" si="100"/>
        <v/>
      </c>
      <c r="T1399" s="9">
        <f t="shared" si="101"/>
        <v>0</v>
      </c>
      <c r="Z1399" s="9">
        <f t="shared" si="102"/>
        <v>0</v>
      </c>
      <c r="AD1399" s="9">
        <f t="shared" si="103"/>
        <v>0</v>
      </c>
    </row>
    <row r="1400" spans="3:30" x14ac:dyDescent="0.4">
      <c r="C1400" t="str">
        <f t="shared" si="100"/>
        <v/>
      </c>
      <c r="T1400" s="9">
        <f t="shared" si="101"/>
        <v>0</v>
      </c>
      <c r="Z1400" s="9">
        <f t="shared" si="102"/>
        <v>0</v>
      </c>
      <c r="AD1400" s="9">
        <f t="shared" si="103"/>
        <v>0</v>
      </c>
    </row>
    <row r="1401" spans="3:30" x14ac:dyDescent="0.4">
      <c r="C1401" t="str">
        <f t="shared" si="100"/>
        <v/>
      </c>
      <c r="T1401" s="9">
        <f t="shared" si="101"/>
        <v>0</v>
      </c>
      <c r="Z1401" s="9">
        <f t="shared" si="102"/>
        <v>0</v>
      </c>
      <c r="AD1401" s="9">
        <f t="shared" si="103"/>
        <v>0</v>
      </c>
    </row>
    <row r="1402" spans="3:30" x14ac:dyDescent="0.4">
      <c r="C1402" t="str">
        <f t="shared" si="100"/>
        <v/>
      </c>
      <c r="T1402" s="9">
        <f t="shared" si="101"/>
        <v>0</v>
      </c>
      <c r="Z1402" s="9">
        <f t="shared" si="102"/>
        <v>0</v>
      </c>
      <c r="AD1402" s="9">
        <f t="shared" si="103"/>
        <v>0</v>
      </c>
    </row>
    <row r="1403" spans="3:30" x14ac:dyDescent="0.4">
      <c r="C1403" t="str">
        <f t="shared" si="100"/>
        <v/>
      </c>
      <c r="T1403" s="9">
        <f t="shared" si="101"/>
        <v>0</v>
      </c>
      <c r="Z1403" s="9">
        <f t="shared" si="102"/>
        <v>0</v>
      </c>
      <c r="AD1403" s="9">
        <f t="shared" si="103"/>
        <v>0</v>
      </c>
    </row>
    <row r="1404" spans="3:30" x14ac:dyDescent="0.4">
      <c r="C1404" t="str">
        <f t="shared" si="100"/>
        <v/>
      </c>
      <c r="T1404" s="9">
        <f t="shared" si="101"/>
        <v>0</v>
      </c>
      <c r="Z1404" s="9">
        <f t="shared" si="102"/>
        <v>0</v>
      </c>
      <c r="AD1404" s="9">
        <f t="shared" si="103"/>
        <v>0</v>
      </c>
    </row>
    <row r="1405" spans="3:30" x14ac:dyDescent="0.4">
      <c r="C1405" t="str">
        <f t="shared" si="100"/>
        <v/>
      </c>
      <c r="T1405" s="9">
        <f t="shared" si="101"/>
        <v>0</v>
      </c>
      <c r="Z1405" s="9">
        <f t="shared" si="102"/>
        <v>0</v>
      </c>
      <c r="AD1405" s="9">
        <f t="shared" si="103"/>
        <v>0</v>
      </c>
    </row>
    <row r="1406" spans="3:30" x14ac:dyDescent="0.4">
      <c r="C1406" t="str">
        <f t="shared" si="100"/>
        <v/>
      </c>
      <c r="T1406" s="9">
        <f t="shared" si="101"/>
        <v>0</v>
      </c>
      <c r="Z1406" s="9">
        <f t="shared" si="102"/>
        <v>0</v>
      </c>
      <c r="AD1406" s="9">
        <f t="shared" si="103"/>
        <v>0</v>
      </c>
    </row>
    <row r="1407" spans="3:30" x14ac:dyDescent="0.4">
      <c r="C1407" t="str">
        <f t="shared" si="100"/>
        <v/>
      </c>
      <c r="T1407" s="9">
        <f t="shared" si="101"/>
        <v>0</v>
      </c>
      <c r="Z1407" s="9">
        <f t="shared" si="102"/>
        <v>0</v>
      </c>
      <c r="AD1407" s="9">
        <f t="shared" si="103"/>
        <v>0</v>
      </c>
    </row>
    <row r="1408" spans="3:30" x14ac:dyDescent="0.4">
      <c r="C1408" t="str">
        <f t="shared" si="100"/>
        <v/>
      </c>
      <c r="T1408" s="9">
        <f t="shared" si="101"/>
        <v>0</v>
      </c>
      <c r="Z1408" s="9">
        <f t="shared" si="102"/>
        <v>0</v>
      </c>
      <c r="AD1408" s="9">
        <f t="shared" si="103"/>
        <v>0</v>
      </c>
    </row>
    <row r="1409" spans="3:30" x14ac:dyDescent="0.4">
      <c r="C1409" t="str">
        <f t="shared" si="100"/>
        <v/>
      </c>
      <c r="T1409" s="9">
        <f t="shared" si="101"/>
        <v>0</v>
      </c>
      <c r="Z1409" s="9">
        <f t="shared" si="102"/>
        <v>0</v>
      </c>
      <c r="AD1409" s="9">
        <f t="shared" si="103"/>
        <v>0</v>
      </c>
    </row>
    <row r="1410" spans="3:30" x14ac:dyDescent="0.4">
      <c r="C1410" t="str">
        <f t="shared" si="100"/>
        <v/>
      </c>
      <c r="T1410" s="9">
        <f t="shared" si="101"/>
        <v>0</v>
      </c>
      <c r="Z1410" s="9">
        <f t="shared" si="102"/>
        <v>0</v>
      </c>
      <c r="AD1410" s="9">
        <f t="shared" si="103"/>
        <v>0</v>
      </c>
    </row>
    <row r="1411" spans="3:30" x14ac:dyDescent="0.4">
      <c r="C1411" t="str">
        <f t="shared" ref="C1411:C1474" si="104">IF(A1411="","",$J$1&amp;"\"&amp;A1411)</f>
        <v/>
      </c>
      <c r="T1411" s="9">
        <f t="shared" si="101"/>
        <v>0</v>
      </c>
      <c r="Z1411" s="9">
        <f t="shared" si="102"/>
        <v>0</v>
      </c>
      <c r="AD1411" s="9">
        <f t="shared" si="103"/>
        <v>0</v>
      </c>
    </row>
    <row r="1412" spans="3:30" x14ac:dyDescent="0.4">
      <c r="C1412" t="str">
        <f t="shared" si="104"/>
        <v/>
      </c>
      <c r="T1412" s="9">
        <f t="shared" si="101"/>
        <v>0</v>
      </c>
      <c r="Z1412" s="9">
        <f t="shared" si="102"/>
        <v>0</v>
      </c>
      <c r="AD1412" s="9">
        <f t="shared" si="103"/>
        <v>0</v>
      </c>
    </row>
    <row r="1413" spans="3:30" x14ac:dyDescent="0.4">
      <c r="C1413" t="str">
        <f t="shared" si="104"/>
        <v/>
      </c>
      <c r="T1413" s="9">
        <f t="shared" si="101"/>
        <v>0</v>
      </c>
      <c r="Z1413" s="9">
        <f t="shared" si="102"/>
        <v>0</v>
      </c>
      <c r="AD1413" s="9">
        <f t="shared" si="103"/>
        <v>0</v>
      </c>
    </row>
    <row r="1414" spans="3:30" x14ac:dyDescent="0.4">
      <c r="C1414" t="str">
        <f t="shared" si="104"/>
        <v/>
      </c>
      <c r="T1414" s="9">
        <f t="shared" si="101"/>
        <v>0</v>
      </c>
      <c r="Z1414" s="9">
        <f t="shared" si="102"/>
        <v>0</v>
      </c>
      <c r="AD1414" s="9">
        <f t="shared" si="103"/>
        <v>0</v>
      </c>
    </row>
    <row r="1415" spans="3:30" x14ac:dyDescent="0.4">
      <c r="C1415" t="str">
        <f t="shared" si="104"/>
        <v/>
      </c>
      <c r="T1415" s="9">
        <f t="shared" si="101"/>
        <v>0</v>
      </c>
      <c r="Z1415" s="9">
        <f t="shared" si="102"/>
        <v>0</v>
      </c>
      <c r="AD1415" s="9">
        <f t="shared" si="103"/>
        <v>0</v>
      </c>
    </row>
    <row r="1416" spans="3:30" x14ac:dyDescent="0.4">
      <c r="C1416" t="str">
        <f t="shared" si="104"/>
        <v/>
      </c>
      <c r="T1416" s="9">
        <f t="shared" ref="T1416:T1479" si="105">(COUNTIFS(TH_TK,N1416,TH_DuNo,O1416,TH_DuNoNT,P1416,TH_DuCo,Q1416,TH_DuCoNT,R1416,TH_SoLuong,S1416)&gt;0)*1</f>
        <v>0</v>
      </c>
      <c r="Z1416" s="9">
        <f t="shared" ref="Z1416:Z1479" si="106">(COUNTIFS(NV,U1416,TK,V1416,TongNo,W1416,TongCo,X1416,SoLuong,Y1416)&gt;0)*1</f>
        <v>0</v>
      </c>
      <c r="AD1416" s="9">
        <f t="shared" ref="AD1416:AD1479" si="107">COUNTIFS(ReportType,AA1416,ItemCode,AB1416,Amount,AC1416)</f>
        <v>0</v>
      </c>
    </row>
    <row r="1417" spans="3:30" x14ac:dyDescent="0.4">
      <c r="C1417" t="str">
        <f t="shared" si="104"/>
        <v/>
      </c>
      <c r="T1417" s="9">
        <f t="shared" si="105"/>
        <v>0</v>
      </c>
      <c r="Z1417" s="9">
        <f t="shared" si="106"/>
        <v>0</v>
      </c>
      <c r="AD1417" s="9">
        <f t="shared" si="107"/>
        <v>0</v>
      </c>
    </row>
    <row r="1418" spans="3:30" x14ac:dyDescent="0.4">
      <c r="C1418" t="str">
        <f t="shared" si="104"/>
        <v/>
      </c>
      <c r="T1418" s="9">
        <f t="shared" si="105"/>
        <v>0</v>
      </c>
      <c r="Z1418" s="9">
        <f t="shared" si="106"/>
        <v>0</v>
      </c>
      <c r="AD1418" s="9">
        <f t="shared" si="107"/>
        <v>0</v>
      </c>
    </row>
    <row r="1419" spans="3:30" x14ac:dyDescent="0.4">
      <c r="C1419" t="str">
        <f t="shared" si="104"/>
        <v/>
      </c>
      <c r="T1419" s="9">
        <f t="shared" si="105"/>
        <v>0</v>
      </c>
      <c r="Z1419" s="9">
        <f t="shared" si="106"/>
        <v>0</v>
      </c>
      <c r="AD1419" s="9">
        <f t="shared" si="107"/>
        <v>0</v>
      </c>
    </row>
    <row r="1420" spans="3:30" x14ac:dyDescent="0.4">
      <c r="C1420" t="str">
        <f t="shared" si="104"/>
        <v/>
      </c>
      <c r="T1420" s="9">
        <f t="shared" si="105"/>
        <v>0</v>
      </c>
      <c r="Z1420" s="9">
        <f t="shared" si="106"/>
        <v>0</v>
      </c>
      <c r="AD1420" s="9">
        <f t="shared" si="107"/>
        <v>0</v>
      </c>
    </row>
    <row r="1421" spans="3:30" x14ac:dyDescent="0.4">
      <c r="C1421" t="str">
        <f t="shared" si="104"/>
        <v/>
      </c>
      <c r="T1421" s="9">
        <f t="shared" si="105"/>
        <v>0</v>
      </c>
      <c r="Z1421" s="9">
        <f t="shared" si="106"/>
        <v>0</v>
      </c>
      <c r="AD1421" s="9">
        <f t="shared" si="107"/>
        <v>0</v>
      </c>
    </row>
    <row r="1422" spans="3:30" x14ac:dyDescent="0.4">
      <c r="C1422" t="str">
        <f t="shared" si="104"/>
        <v/>
      </c>
      <c r="T1422" s="9">
        <f t="shared" si="105"/>
        <v>0</v>
      </c>
      <c r="Z1422" s="9">
        <f t="shared" si="106"/>
        <v>0</v>
      </c>
      <c r="AD1422" s="9">
        <f t="shared" si="107"/>
        <v>0</v>
      </c>
    </row>
    <row r="1423" spans="3:30" x14ac:dyDescent="0.4">
      <c r="C1423" t="str">
        <f t="shared" si="104"/>
        <v/>
      </c>
      <c r="T1423" s="9">
        <f t="shared" si="105"/>
        <v>0</v>
      </c>
      <c r="Z1423" s="9">
        <f t="shared" si="106"/>
        <v>0</v>
      </c>
      <c r="AD1423" s="9">
        <f t="shared" si="107"/>
        <v>0</v>
      </c>
    </row>
    <row r="1424" spans="3:30" x14ac:dyDescent="0.4">
      <c r="C1424" t="str">
        <f t="shared" si="104"/>
        <v/>
      </c>
      <c r="T1424" s="9">
        <f t="shared" si="105"/>
        <v>0</v>
      </c>
      <c r="Z1424" s="9">
        <f t="shared" si="106"/>
        <v>0</v>
      </c>
      <c r="AD1424" s="9">
        <f t="shared" si="107"/>
        <v>0</v>
      </c>
    </row>
    <row r="1425" spans="3:30" x14ac:dyDescent="0.4">
      <c r="C1425" t="str">
        <f t="shared" si="104"/>
        <v/>
      </c>
      <c r="T1425" s="9">
        <f t="shared" si="105"/>
        <v>0</v>
      </c>
      <c r="Z1425" s="9">
        <f t="shared" si="106"/>
        <v>0</v>
      </c>
      <c r="AD1425" s="9">
        <f t="shared" si="107"/>
        <v>0</v>
      </c>
    </row>
    <row r="1426" spans="3:30" x14ac:dyDescent="0.4">
      <c r="C1426" t="str">
        <f t="shared" si="104"/>
        <v/>
      </c>
      <c r="T1426" s="9">
        <f t="shared" si="105"/>
        <v>0</v>
      </c>
      <c r="Z1426" s="9">
        <f t="shared" si="106"/>
        <v>0</v>
      </c>
      <c r="AD1426" s="9">
        <f t="shared" si="107"/>
        <v>0</v>
      </c>
    </row>
    <row r="1427" spans="3:30" x14ac:dyDescent="0.4">
      <c r="C1427" t="str">
        <f t="shared" si="104"/>
        <v/>
      </c>
      <c r="T1427" s="9">
        <f t="shared" si="105"/>
        <v>0</v>
      </c>
      <c r="Z1427" s="9">
        <f t="shared" si="106"/>
        <v>0</v>
      </c>
      <c r="AD1427" s="9">
        <f t="shared" si="107"/>
        <v>0</v>
      </c>
    </row>
    <row r="1428" spans="3:30" x14ac:dyDescent="0.4">
      <c r="C1428" t="str">
        <f t="shared" si="104"/>
        <v/>
      </c>
      <c r="T1428" s="9">
        <f t="shared" si="105"/>
        <v>0</v>
      </c>
      <c r="Z1428" s="9">
        <f t="shared" si="106"/>
        <v>0</v>
      </c>
      <c r="AD1428" s="9">
        <f t="shared" si="107"/>
        <v>0</v>
      </c>
    </row>
    <row r="1429" spans="3:30" x14ac:dyDescent="0.4">
      <c r="C1429" t="str">
        <f t="shared" si="104"/>
        <v/>
      </c>
      <c r="T1429" s="9">
        <f t="shared" si="105"/>
        <v>0</v>
      </c>
      <c r="Z1429" s="9">
        <f t="shared" si="106"/>
        <v>0</v>
      </c>
      <c r="AD1429" s="9">
        <f t="shared" si="107"/>
        <v>0</v>
      </c>
    </row>
    <row r="1430" spans="3:30" x14ac:dyDescent="0.4">
      <c r="C1430" t="str">
        <f t="shared" si="104"/>
        <v/>
      </c>
      <c r="T1430" s="9">
        <f t="shared" si="105"/>
        <v>0</v>
      </c>
      <c r="Z1430" s="9">
        <f t="shared" si="106"/>
        <v>0</v>
      </c>
      <c r="AD1430" s="9">
        <f t="shared" si="107"/>
        <v>0</v>
      </c>
    </row>
    <row r="1431" spans="3:30" x14ac:dyDescent="0.4">
      <c r="C1431" t="str">
        <f t="shared" si="104"/>
        <v/>
      </c>
      <c r="T1431" s="9">
        <f t="shared" si="105"/>
        <v>0</v>
      </c>
      <c r="Z1431" s="9">
        <f t="shared" si="106"/>
        <v>0</v>
      </c>
      <c r="AD1431" s="9">
        <f t="shared" si="107"/>
        <v>0</v>
      </c>
    </row>
    <row r="1432" spans="3:30" x14ac:dyDescent="0.4">
      <c r="C1432" t="str">
        <f t="shared" si="104"/>
        <v/>
      </c>
      <c r="T1432" s="9">
        <f t="shared" si="105"/>
        <v>0</v>
      </c>
      <c r="Z1432" s="9">
        <f t="shared" si="106"/>
        <v>0</v>
      </c>
      <c r="AD1432" s="9">
        <f t="shared" si="107"/>
        <v>0</v>
      </c>
    </row>
    <row r="1433" spans="3:30" x14ac:dyDescent="0.4">
      <c r="C1433" t="str">
        <f t="shared" si="104"/>
        <v/>
      </c>
      <c r="T1433" s="9">
        <f t="shared" si="105"/>
        <v>0</v>
      </c>
      <c r="Z1433" s="9">
        <f t="shared" si="106"/>
        <v>0</v>
      </c>
      <c r="AD1433" s="9">
        <f t="shared" si="107"/>
        <v>0</v>
      </c>
    </row>
    <row r="1434" spans="3:30" x14ac:dyDescent="0.4">
      <c r="C1434" t="str">
        <f t="shared" si="104"/>
        <v/>
      </c>
      <c r="T1434" s="9">
        <f t="shared" si="105"/>
        <v>0</v>
      </c>
      <c r="Z1434" s="9">
        <f t="shared" si="106"/>
        <v>0</v>
      </c>
      <c r="AD1434" s="9">
        <f t="shared" si="107"/>
        <v>0</v>
      </c>
    </row>
    <row r="1435" spans="3:30" x14ac:dyDescent="0.4">
      <c r="C1435" t="str">
        <f t="shared" si="104"/>
        <v/>
      </c>
      <c r="T1435" s="9">
        <f t="shared" si="105"/>
        <v>0</v>
      </c>
      <c r="Z1435" s="9">
        <f t="shared" si="106"/>
        <v>0</v>
      </c>
      <c r="AD1435" s="9">
        <f t="shared" si="107"/>
        <v>0</v>
      </c>
    </row>
    <row r="1436" spans="3:30" x14ac:dyDescent="0.4">
      <c r="C1436" t="str">
        <f t="shared" si="104"/>
        <v/>
      </c>
      <c r="T1436" s="9">
        <f t="shared" si="105"/>
        <v>0</v>
      </c>
      <c r="Z1436" s="9">
        <f t="shared" si="106"/>
        <v>0</v>
      </c>
      <c r="AD1436" s="9">
        <f t="shared" si="107"/>
        <v>0</v>
      </c>
    </row>
    <row r="1437" spans="3:30" x14ac:dyDescent="0.4">
      <c r="C1437" t="str">
        <f t="shared" si="104"/>
        <v/>
      </c>
      <c r="T1437" s="9">
        <f t="shared" si="105"/>
        <v>0</v>
      </c>
      <c r="Z1437" s="9">
        <f t="shared" si="106"/>
        <v>0</v>
      </c>
      <c r="AD1437" s="9">
        <f t="shared" si="107"/>
        <v>0</v>
      </c>
    </row>
    <row r="1438" spans="3:30" x14ac:dyDescent="0.4">
      <c r="C1438" t="str">
        <f t="shared" si="104"/>
        <v/>
      </c>
      <c r="T1438" s="9">
        <f t="shared" si="105"/>
        <v>0</v>
      </c>
      <c r="Z1438" s="9">
        <f t="shared" si="106"/>
        <v>0</v>
      </c>
      <c r="AD1438" s="9">
        <f t="shared" si="107"/>
        <v>0</v>
      </c>
    </row>
    <row r="1439" spans="3:30" x14ac:dyDescent="0.4">
      <c r="C1439" t="str">
        <f t="shared" si="104"/>
        <v/>
      </c>
      <c r="T1439" s="9">
        <f t="shared" si="105"/>
        <v>0</v>
      </c>
      <c r="Z1439" s="9">
        <f t="shared" si="106"/>
        <v>0</v>
      </c>
      <c r="AD1439" s="9">
        <f t="shared" si="107"/>
        <v>0</v>
      </c>
    </row>
    <row r="1440" spans="3:30" x14ac:dyDescent="0.4">
      <c r="C1440" t="str">
        <f t="shared" si="104"/>
        <v/>
      </c>
      <c r="T1440" s="9">
        <f t="shared" si="105"/>
        <v>0</v>
      </c>
      <c r="Z1440" s="9">
        <f t="shared" si="106"/>
        <v>0</v>
      </c>
      <c r="AD1440" s="9">
        <f t="shared" si="107"/>
        <v>0</v>
      </c>
    </row>
    <row r="1441" spans="3:30" x14ac:dyDescent="0.4">
      <c r="C1441" t="str">
        <f t="shared" si="104"/>
        <v/>
      </c>
      <c r="T1441" s="9">
        <f t="shared" si="105"/>
        <v>0</v>
      </c>
      <c r="Z1441" s="9">
        <f t="shared" si="106"/>
        <v>0</v>
      </c>
      <c r="AD1441" s="9">
        <f t="shared" si="107"/>
        <v>0</v>
      </c>
    </row>
    <row r="1442" spans="3:30" x14ac:dyDescent="0.4">
      <c r="C1442" t="str">
        <f t="shared" si="104"/>
        <v/>
      </c>
      <c r="T1442" s="9">
        <f t="shared" si="105"/>
        <v>0</v>
      </c>
      <c r="Z1442" s="9">
        <f t="shared" si="106"/>
        <v>0</v>
      </c>
      <c r="AD1442" s="9">
        <f t="shared" si="107"/>
        <v>0</v>
      </c>
    </row>
    <row r="1443" spans="3:30" x14ac:dyDescent="0.4">
      <c r="C1443" t="str">
        <f t="shared" si="104"/>
        <v/>
      </c>
      <c r="T1443" s="9">
        <f t="shared" si="105"/>
        <v>0</v>
      </c>
      <c r="Z1443" s="9">
        <f t="shared" si="106"/>
        <v>0</v>
      </c>
      <c r="AD1443" s="9">
        <f t="shared" si="107"/>
        <v>0</v>
      </c>
    </row>
    <row r="1444" spans="3:30" x14ac:dyDescent="0.4">
      <c r="C1444" t="str">
        <f t="shared" si="104"/>
        <v/>
      </c>
      <c r="T1444" s="9">
        <f t="shared" si="105"/>
        <v>0</v>
      </c>
      <c r="Z1444" s="9">
        <f t="shared" si="106"/>
        <v>0</v>
      </c>
      <c r="AD1444" s="9">
        <f t="shared" si="107"/>
        <v>0</v>
      </c>
    </row>
    <row r="1445" spans="3:30" x14ac:dyDescent="0.4">
      <c r="C1445" t="str">
        <f t="shared" si="104"/>
        <v/>
      </c>
      <c r="T1445" s="9">
        <f t="shared" si="105"/>
        <v>0</v>
      </c>
      <c r="Z1445" s="9">
        <f t="shared" si="106"/>
        <v>0</v>
      </c>
      <c r="AD1445" s="9">
        <f t="shared" si="107"/>
        <v>0</v>
      </c>
    </row>
    <row r="1446" spans="3:30" x14ac:dyDescent="0.4">
      <c r="C1446" t="str">
        <f t="shared" si="104"/>
        <v/>
      </c>
      <c r="T1446" s="9">
        <f t="shared" si="105"/>
        <v>0</v>
      </c>
      <c r="Z1446" s="9">
        <f t="shared" si="106"/>
        <v>0</v>
      </c>
      <c r="AD1446" s="9">
        <f t="shared" si="107"/>
        <v>0</v>
      </c>
    </row>
    <row r="1447" spans="3:30" x14ac:dyDescent="0.4">
      <c r="C1447" t="str">
        <f t="shared" si="104"/>
        <v/>
      </c>
      <c r="T1447" s="9">
        <f t="shared" si="105"/>
        <v>0</v>
      </c>
      <c r="Z1447" s="9">
        <f t="shared" si="106"/>
        <v>0</v>
      </c>
      <c r="AD1447" s="9">
        <f t="shared" si="107"/>
        <v>0</v>
      </c>
    </row>
    <row r="1448" spans="3:30" x14ac:dyDescent="0.4">
      <c r="C1448" t="str">
        <f t="shared" si="104"/>
        <v/>
      </c>
      <c r="T1448" s="9">
        <f t="shared" si="105"/>
        <v>0</v>
      </c>
      <c r="Z1448" s="9">
        <f t="shared" si="106"/>
        <v>0</v>
      </c>
      <c r="AD1448" s="9">
        <f t="shared" si="107"/>
        <v>0</v>
      </c>
    </row>
    <row r="1449" spans="3:30" x14ac:dyDescent="0.4">
      <c r="C1449" t="str">
        <f t="shared" si="104"/>
        <v/>
      </c>
      <c r="T1449" s="9">
        <f t="shared" si="105"/>
        <v>0</v>
      </c>
      <c r="Z1449" s="9">
        <f t="shared" si="106"/>
        <v>0</v>
      </c>
      <c r="AD1449" s="9">
        <f t="shared" si="107"/>
        <v>0</v>
      </c>
    </row>
    <row r="1450" spans="3:30" x14ac:dyDescent="0.4">
      <c r="C1450" t="str">
        <f t="shared" si="104"/>
        <v/>
      </c>
      <c r="T1450" s="9">
        <f t="shared" si="105"/>
        <v>0</v>
      </c>
      <c r="Z1450" s="9">
        <f t="shared" si="106"/>
        <v>0</v>
      </c>
      <c r="AD1450" s="9">
        <f t="shared" si="107"/>
        <v>0</v>
      </c>
    </row>
    <row r="1451" spans="3:30" x14ac:dyDescent="0.4">
      <c r="C1451" t="str">
        <f t="shared" si="104"/>
        <v/>
      </c>
      <c r="T1451" s="9">
        <f t="shared" si="105"/>
        <v>0</v>
      </c>
      <c r="Z1451" s="9">
        <f t="shared" si="106"/>
        <v>0</v>
      </c>
      <c r="AD1451" s="9">
        <f t="shared" si="107"/>
        <v>0</v>
      </c>
    </row>
    <row r="1452" spans="3:30" x14ac:dyDescent="0.4">
      <c r="C1452" t="str">
        <f t="shared" si="104"/>
        <v/>
      </c>
      <c r="T1452" s="9">
        <f t="shared" si="105"/>
        <v>0</v>
      </c>
      <c r="Z1452" s="9">
        <f t="shared" si="106"/>
        <v>0</v>
      </c>
      <c r="AD1452" s="9">
        <f t="shared" si="107"/>
        <v>0</v>
      </c>
    </row>
    <row r="1453" spans="3:30" x14ac:dyDescent="0.4">
      <c r="C1453" t="str">
        <f t="shared" si="104"/>
        <v/>
      </c>
      <c r="T1453" s="9">
        <f t="shared" si="105"/>
        <v>0</v>
      </c>
      <c r="Z1453" s="9">
        <f t="shared" si="106"/>
        <v>0</v>
      </c>
      <c r="AD1453" s="9">
        <f t="shared" si="107"/>
        <v>0</v>
      </c>
    </row>
    <row r="1454" spans="3:30" x14ac:dyDescent="0.4">
      <c r="C1454" t="str">
        <f t="shared" si="104"/>
        <v/>
      </c>
      <c r="T1454" s="9">
        <f t="shared" si="105"/>
        <v>0</v>
      </c>
      <c r="Z1454" s="9">
        <f t="shared" si="106"/>
        <v>0</v>
      </c>
      <c r="AD1454" s="9">
        <f t="shared" si="107"/>
        <v>0</v>
      </c>
    </row>
    <row r="1455" spans="3:30" x14ac:dyDescent="0.4">
      <c r="C1455" t="str">
        <f t="shared" si="104"/>
        <v/>
      </c>
      <c r="T1455" s="9">
        <f t="shared" si="105"/>
        <v>0</v>
      </c>
      <c r="Z1455" s="9">
        <f t="shared" si="106"/>
        <v>0</v>
      </c>
      <c r="AD1455" s="9">
        <f t="shared" si="107"/>
        <v>0</v>
      </c>
    </row>
    <row r="1456" spans="3:30" x14ac:dyDescent="0.4">
      <c r="C1456" t="str">
        <f t="shared" si="104"/>
        <v/>
      </c>
      <c r="T1456" s="9">
        <f t="shared" si="105"/>
        <v>0</v>
      </c>
      <c r="Z1456" s="9">
        <f t="shared" si="106"/>
        <v>0</v>
      </c>
      <c r="AD1456" s="9">
        <f t="shared" si="107"/>
        <v>0</v>
      </c>
    </row>
    <row r="1457" spans="3:30" x14ac:dyDescent="0.4">
      <c r="C1457" t="str">
        <f t="shared" si="104"/>
        <v/>
      </c>
      <c r="T1457" s="9">
        <f t="shared" si="105"/>
        <v>0</v>
      </c>
      <c r="Z1457" s="9">
        <f t="shared" si="106"/>
        <v>0</v>
      </c>
      <c r="AD1457" s="9">
        <f t="shared" si="107"/>
        <v>0</v>
      </c>
    </row>
    <row r="1458" spans="3:30" x14ac:dyDescent="0.4">
      <c r="C1458" t="str">
        <f t="shared" si="104"/>
        <v/>
      </c>
      <c r="T1458" s="9">
        <f t="shared" si="105"/>
        <v>0</v>
      </c>
      <c r="Z1458" s="9">
        <f t="shared" si="106"/>
        <v>0</v>
      </c>
      <c r="AD1458" s="9">
        <f t="shared" si="107"/>
        <v>0</v>
      </c>
    </row>
    <row r="1459" spans="3:30" x14ac:dyDescent="0.4">
      <c r="C1459" t="str">
        <f t="shared" si="104"/>
        <v/>
      </c>
      <c r="T1459" s="9">
        <f t="shared" si="105"/>
        <v>0</v>
      </c>
      <c r="Z1459" s="9">
        <f t="shared" si="106"/>
        <v>0</v>
      </c>
      <c r="AD1459" s="9">
        <f t="shared" si="107"/>
        <v>0</v>
      </c>
    </row>
    <row r="1460" spans="3:30" x14ac:dyDescent="0.4">
      <c r="C1460" t="str">
        <f t="shared" si="104"/>
        <v/>
      </c>
      <c r="T1460" s="9">
        <f t="shared" si="105"/>
        <v>0</v>
      </c>
      <c r="Z1460" s="9">
        <f t="shared" si="106"/>
        <v>0</v>
      </c>
      <c r="AD1460" s="9">
        <f t="shared" si="107"/>
        <v>0</v>
      </c>
    </row>
    <row r="1461" spans="3:30" x14ac:dyDescent="0.4">
      <c r="C1461" t="str">
        <f t="shared" si="104"/>
        <v/>
      </c>
      <c r="T1461" s="9">
        <f t="shared" si="105"/>
        <v>0</v>
      </c>
      <c r="Z1461" s="9">
        <f t="shared" si="106"/>
        <v>0</v>
      </c>
      <c r="AD1461" s="9">
        <f t="shared" si="107"/>
        <v>0</v>
      </c>
    </row>
    <row r="1462" spans="3:30" x14ac:dyDescent="0.4">
      <c r="C1462" t="str">
        <f t="shared" si="104"/>
        <v/>
      </c>
      <c r="T1462" s="9">
        <f t="shared" si="105"/>
        <v>0</v>
      </c>
      <c r="Z1462" s="9">
        <f t="shared" si="106"/>
        <v>0</v>
      </c>
      <c r="AD1462" s="9">
        <f t="shared" si="107"/>
        <v>0</v>
      </c>
    </row>
    <row r="1463" spans="3:30" x14ac:dyDescent="0.4">
      <c r="C1463" t="str">
        <f t="shared" si="104"/>
        <v/>
      </c>
      <c r="T1463" s="9">
        <f t="shared" si="105"/>
        <v>0</v>
      </c>
      <c r="Z1463" s="9">
        <f t="shared" si="106"/>
        <v>0</v>
      </c>
      <c r="AD1463" s="9">
        <f t="shared" si="107"/>
        <v>0</v>
      </c>
    </row>
    <row r="1464" spans="3:30" x14ac:dyDescent="0.4">
      <c r="C1464" t="str">
        <f t="shared" si="104"/>
        <v/>
      </c>
      <c r="T1464" s="9">
        <f t="shared" si="105"/>
        <v>0</v>
      </c>
      <c r="Z1464" s="9">
        <f t="shared" si="106"/>
        <v>0</v>
      </c>
      <c r="AD1464" s="9">
        <f t="shared" si="107"/>
        <v>0</v>
      </c>
    </row>
    <row r="1465" spans="3:30" x14ac:dyDescent="0.4">
      <c r="C1465" t="str">
        <f t="shared" si="104"/>
        <v/>
      </c>
      <c r="T1465" s="9">
        <f t="shared" si="105"/>
        <v>0</v>
      </c>
      <c r="Z1465" s="9">
        <f t="shared" si="106"/>
        <v>0</v>
      </c>
      <c r="AD1465" s="9">
        <f t="shared" si="107"/>
        <v>0</v>
      </c>
    </row>
    <row r="1466" spans="3:30" x14ac:dyDescent="0.4">
      <c r="C1466" t="str">
        <f t="shared" si="104"/>
        <v/>
      </c>
      <c r="T1466" s="9">
        <f t="shared" si="105"/>
        <v>0</v>
      </c>
      <c r="Z1466" s="9">
        <f t="shared" si="106"/>
        <v>0</v>
      </c>
      <c r="AD1466" s="9">
        <f t="shared" si="107"/>
        <v>0</v>
      </c>
    </row>
    <row r="1467" spans="3:30" x14ac:dyDescent="0.4">
      <c r="C1467" t="str">
        <f t="shared" si="104"/>
        <v/>
      </c>
      <c r="T1467" s="9">
        <f t="shared" si="105"/>
        <v>0</v>
      </c>
      <c r="Z1467" s="9">
        <f t="shared" si="106"/>
        <v>0</v>
      </c>
      <c r="AD1467" s="9">
        <f t="shared" si="107"/>
        <v>0</v>
      </c>
    </row>
    <row r="1468" spans="3:30" x14ac:dyDescent="0.4">
      <c r="C1468" t="str">
        <f t="shared" si="104"/>
        <v/>
      </c>
      <c r="T1468" s="9">
        <f t="shared" si="105"/>
        <v>0</v>
      </c>
      <c r="Z1468" s="9">
        <f t="shared" si="106"/>
        <v>0</v>
      </c>
      <c r="AD1468" s="9">
        <f t="shared" si="107"/>
        <v>0</v>
      </c>
    </row>
    <row r="1469" spans="3:30" x14ac:dyDescent="0.4">
      <c r="C1469" t="str">
        <f t="shared" si="104"/>
        <v/>
      </c>
      <c r="T1469" s="9">
        <f t="shared" si="105"/>
        <v>0</v>
      </c>
      <c r="Z1469" s="9">
        <f t="shared" si="106"/>
        <v>0</v>
      </c>
      <c r="AD1469" s="9">
        <f t="shared" si="107"/>
        <v>0</v>
      </c>
    </row>
    <row r="1470" spans="3:30" x14ac:dyDescent="0.4">
      <c r="C1470" t="str">
        <f t="shared" si="104"/>
        <v/>
      </c>
      <c r="T1470" s="9">
        <f t="shared" si="105"/>
        <v>0</v>
      </c>
      <c r="Z1470" s="9">
        <f t="shared" si="106"/>
        <v>0</v>
      </c>
      <c r="AD1470" s="9">
        <f t="shared" si="107"/>
        <v>0</v>
      </c>
    </row>
    <row r="1471" spans="3:30" x14ac:dyDescent="0.4">
      <c r="C1471" t="str">
        <f t="shared" si="104"/>
        <v/>
      </c>
      <c r="T1471" s="9">
        <f t="shared" si="105"/>
        <v>0</v>
      </c>
      <c r="Z1471" s="9">
        <f t="shared" si="106"/>
        <v>0</v>
      </c>
      <c r="AD1471" s="9">
        <f t="shared" si="107"/>
        <v>0</v>
      </c>
    </row>
    <row r="1472" spans="3:30" x14ac:dyDescent="0.4">
      <c r="C1472" t="str">
        <f t="shared" si="104"/>
        <v/>
      </c>
      <c r="T1472" s="9">
        <f t="shared" si="105"/>
        <v>0</v>
      </c>
      <c r="Z1472" s="9">
        <f t="shared" si="106"/>
        <v>0</v>
      </c>
      <c r="AD1472" s="9">
        <f t="shared" si="107"/>
        <v>0</v>
      </c>
    </row>
    <row r="1473" spans="3:30" x14ac:dyDescent="0.4">
      <c r="C1473" t="str">
        <f t="shared" si="104"/>
        <v/>
      </c>
      <c r="T1473" s="9">
        <f t="shared" si="105"/>
        <v>0</v>
      </c>
      <c r="Z1473" s="9">
        <f t="shared" si="106"/>
        <v>0</v>
      </c>
      <c r="AD1473" s="9">
        <f t="shared" si="107"/>
        <v>0</v>
      </c>
    </row>
    <row r="1474" spans="3:30" x14ac:dyDescent="0.4">
      <c r="C1474" t="str">
        <f t="shared" si="104"/>
        <v/>
      </c>
      <c r="T1474" s="9">
        <f t="shared" si="105"/>
        <v>0</v>
      </c>
      <c r="Z1474" s="9">
        <f t="shared" si="106"/>
        <v>0</v>
      </c>
      <c r="AD1474" s="9">
        <f t="shared" si="107"/>
        <v>0</v>
      </c>
    </row>
    <row r="1475" spans="3:30" x14ac:dyDescent="0.4">
      <c r="C1475" t="str">
        <f t="shared" ref="C1475:C1538" si="108">IF(A1475="","",$J$1&amp;"\"&amp;A1475)</f>
        <v/>
      </c>
      <c r="T1475" s="9">
        <f t="shared" si="105"/>
        <v>0</v>
      </c>
      <c r="Z1475" s="9">
        <f t="shared" si="106"/>
        <v>0</v>
      </c>
      <c r="AD1475" s="9">
        <f t="shared" si="107"/>
        <v>0</v>
      </c>
    </row>
    <row r="1476" spans="3:30" x14ac:dyDescent="0.4">
      <c r="C1476" t="str">
        <f t="shared" si="108"/>
        <v/>
      </c>
      <c r="T1476" s="9">
        <f t="shared" si="105"/>
        <v>0</v>
      </c>
      <c r="Z1476" s="9">
        <f t="shared" si="106"/>
        <v>0</v>
      </c>
      <c r="AD1476" s="9">
        <f t="shared" si="107"/>
        <v>0</v>
      </c>
    </row>
    <row r="1477" spans="3:30" x14ac:dyDescent="0.4">
      <c r="C1477" t="str">
        <f t="shared" si="108"/>
        <v/>
      </c>
      <c r="T1477" s="9">
        <f t="shared" si="105"/>
        <v>0</v>
      </c>
      <c r="Z1477" s="9">
        <f t="shared" si="106"/>
        <v>0</v>
      </c>
      <c r="AD1477" s="9">
        <f t="shared" si="107"/>
        <v>0</v>
      </c>
    </row>
    <row r="1478" spans="3:30" x14ac:dyDescent="0.4">
      <c r="C1478" t="str">
        <f t="shared" si="108"/>
        <v/>
      </c>
      <c r="T1478" s="9">
        <f t="shared" si="105"/>
        <v>0</v>
      </c>
      <c r="Z1478" s="9">
        <f t="shared" si="106"/>
        <v>0</v>
      </c>
      <c r="AD1478" s="9">
        <f t="shared" si="107"/>
        <v>0</v>
      </c>
    </row>
    <row r="1479" spans="3:30" x14ac:dyDescent="0.4">
      <c r="C1479" t="str">
        <f t="shared" si="108"/>
        <v/>
      </c>
      <c r="T1479" s="9">
        <f t="shared" si="105"/>
        <v>0</v>
      </c>
      <c r="Z1479" s="9">
        <f t="shared" si="106"/>
        <v>0</v>
      </c>
      <c r="AD1479" s="9">
        <f t="shared" si="107"/>
        <v>0</v>
      </c>
    </row>
    <row r="1480" spans="3:30" x14ac:dyDescent="0.4">
      <c r="C1480" t="str">
        <f t="shared" si="108"/>
        <v/>
      </c>
      <c r="T1480" s="9">
        <f t="shared" ref="T1480:T1543" si="109">(COUNTIFS(TH_TK,N1480,TH_DuNo,O1480,TH_DuNoNT,P1480,TH_DuCo,Q1480,TH_DuCoNT,R1480,TH_SoLuong,S1480)&gt;0)*1</f>
        <v>0</v>
      </c>
      <c r="Z1480" s="9">
        <f t="shared" ref="Z1480:Z1543" si="110">(COUNTIFS(NV,U1480,TK,V1480,TongNo,W1480,TongCo,X1480,SoLuong,Y1480)&gt;0)*1</f>
        <v>0</v>
      </c>
      <c r="AD1480" s="9">
        <f t="shared" ref="AD1480:AD1543" si="111">COUNTIFS(ReportType,AA1480,ItemCode,AB1480,Amount,AC1480)</f>
        <v>0</v>
      </c>
    </row>
    <row r="1481" spans="3:30" x14ac:dyDescent="0.4">
      <c r="C1481" t="str">
        <f t="shared" si="108"/>
        <v/>
      </c>
      <c r="T1481" s="9">
        <f t="shared" si="109"/>
        <v>0</v>
      </c>
      <c r="Z1481" s="9">
        <f t="shared" si="110"/>
        <v>0</v>
      </c>
      <c r="AD1481" s="9">
        <f t="shared" si="111"/>
        <v>0</v>
      </c>
    </row>
    <row r="1482" spans="3:30" x14ac:dyDescent="0.4">
      <c r="C1482" t="str">
        <f t="shared" si="108"/>
        <v/>
      </c>
      <c r="T1482" s="9">
        <f t="shared" si="109"/>
        <v>0</v>
      </c>
      <c r="Z1482" s="9">
        <f t="shared" si="110"/>
        <v>0</v>
      </c>
      <c r="AD1482" s="9">
        <f t="shared" si="111"/>
        <v>0</v>
      </c>
    </row>
    <row r="1483" spans="3:30" x14ac:dyDescent="0.4">
      <c r="C1483" t="str">
        <f t="shared" si="108"/>
        <v/>
      </c>
      <c r="T1483" s="9">
        <f t="shared" si="109"/>
        <v>0</v>
      </c>
      <c r="Z1483" s="9">
        <f t="shared" si="110"/>
        <v>0</v>
      </c>
      <c r="AD1483" s="9">
        <f t="shared" si="111"/>
        <v>0</v>
      </c>
    </row>
    <row r="1484" spans="3:30" x14ac:dyDescent="0.4">
      <c r="C1484" t="str">
        <f t="shared" si="108"/>
        <v/>
      </c>
      <c r="T1484" s="9">
        <f t="shared" si="109"/>
        <v>0</v>
      </c>
      <c r="Z1484" s="9">
        <f t="shared" si="110"/>
        <v>0</v>
      </c>
      <c r="AD1484" s="9">
        <f t="shared" si="111"/>
        <v>0</v>
      </c>
    </row>
    <row r="1485" spans="3:30" x14ac:dyDescent="0.4">
      <c r="C1485" t="str">
        <f t="shared" si="108"/>
        <v/>
      </c>
      <c r="T1485" s="9">
        <f t="shared" si="109"/>
        <v>0</v>
      </c>
      <c r="Z1485" s="9">
        <f t="shared" si="110"/>
        <v>0</v>
      </c>
      <c r="AD1485" s="9">
        <f t="shared" si="111"/>
        <v>0</v>
      </c>
    </row>
    <row r="1486" spans="3:30" x14ac:dyDescent="0.4">
      <c r="C1486" t="str">
        <f t="shared" si="108"/>
        <v/>
      </c>
      <c r="T1486" s="9">
        <f t="shared" si="109"/>
        <v>0</v>
      </c>
      <c r="Z1486" s="9">
        <f t="shared" si="110"/>
        <v>0</v>
      </c>
      <c r="AD1486" s="9">
        <f t="shared" si="111"/>
        <v>0</v>
      </c>
    </row>
    <row r="1487" spans="3:30" x14ac:dyDescent="0.4">
      <c r="C1487" t="str">
        <f t="shared" si="108"/>
        <v/>
      </c>
      <c r="T1487" s="9">
        <f t="shared" si="109"/>
        <v>0</v>
      </c>
      <c r="Z1487" s="9">
        <f t="shared" si="110"/>
        <v>0</v>
      </c>
      <c r="AD1487" s="9">
        <f t="shared" si="111"/>
        <v>0</v>
      </c>
    </row>
    <row r="1488" spans="3:30" x14ac:dyDescent="0.4">
      <c r="C1488" t="str">
        <f t="shared" si="108"/>
        <v/>
      </c>
      <c r="T1488" s="9">
        <f t="shared" si="109"/>
        <v>0</v>
      </c>
      <c r="Z1488" s="9">
        <f t="shared" si="110"/>
        <v>0</v>
      </c>
      <c r="AD1488" s="9">
        <f t="shared" si="111"/>
        <v>0</v>
      </c>
    </row>
    <row r="1489" spans="3:30" x14ac:dyDescent="0.4">
      <c r="C1489" t="str">
        <f t="shared" si="108"/>
        <v/>
      </c>
      <c r="T1489" s="9">
        <f t="shared" si="109"/>
        <v>0</v>
      </c>
      <c r="Z1489" s="9">
        <f t="shared" si="110"/>
        <v>0</v>
      </c>
      <c r="AD1489" s="9">
        <f t="shared" si="111"/>
        <v>0</v>
      </c>
    </row>
    <row r="1490" spans="3:30" x14ac:dyDescent="0.4">
      <c r="C1490" t="str">
        <f t="shared" si="108"/>
        <v/>
      </c>
      <c r="T1490" s="9">
        <f t="shared" si="109"/>
        <v>0</v>
      </c>
      <c r="Z1490" s="9">
        <f t="shared" si="110"/>
        <v>0</v>
      </c>
      <c r="AD1490" s="9">
        <f t="shared" si="111"/>
        <v>0</v>
      </c>
    </row>
    <row r="1491" spans="3:30" x14ac:dyDescent="0.4">
      <c r="C1491" t="str">
        <f t="shared" si="108"/>
        <v/>
      </c>
      <c r="T1491" s="9">
        <f t="shared" si="109"/>
        <v>0</v>
      </c>
      <c r="Z1491" s="9">
        <f t="shared" si="110"/>
        <v>0</v>
      </c>
      <c r="AD1491" s="9">
        <f t="shared" si="111"/>
        <v>0</v>
      </c>
    </row>
    <row r="1492" spans="3:30" x14ac:dyDescent="0.4">
      <c r="C1492" t="str">
        <f t="shared" si="108"/>
        <v/>
      </c>
      <c r="T1492" s="9">
        <f t="shared" si="109"/>
        <v>0</v>
      </c>
      <c r="Z1492" s="9">
        <f t="shared" si="110"/>
        <v>0</v>
      </c>
      <c r="AD1492" s="9">
        <f t="shared" si="111"/>
        <v>0</v>
      </c>
    </row>
    <row r="1493" spans="3:30" x14ac:dyDescent="0.4">
      <c r="C1493" t="str">
        <f t="shared" si="108"/>
        <v/>
      </c>
      <c r="T1493" s="9">
        <f t="shared" si="109"/>
        <v>0</v>
      </c>
      <c r="Z1493" s="9">
        <f t="shared" si="110"/>
        <v>0</v>
      </c>
      <c r="AD1493" s="9">
        <f t="shared" si="111"/>
        <v>0</v>
      </c>
    </row>
    <row r="1494" spans="3:30" x14ac:dyDescent="0.4">
      <c r="C1494" t="str">
        <f t="shared" si="108"/>
        <v/>
      </c>
      <c r="T1494" s="9">
        <f t="shared" si="109"/>
        <v>0</v>
      </c>
      <c r="Z1494" s="9">
        <f t="shared" si="110"/>
        <v>0</v>
      </c>
      <c r="AD1494" s="9">
        <f t="shared" si="111"/>
        <v>0</v>
      </c>
    </row>
    <row r="1495" spans="3:30" x14ac:dyDescent="0.4">
      <c r="C1495" t="str">
        <f t="shared" si="108"/>
        <v/>
      </c>
      <c r="T1495" s="9">
        <f t="shared" si="109"/>
        <v>0</v>
      </c>
      <c r="Z1495" s="9">
        <f t="shared" si="110"/>
        <v>0</v>
      </c>
      <c r="AD1495" s="9">
        <f t="shared" si="111"/>
        <v>0</v>
      </c>
    </row>
    <row r="1496" spans="3:30" x14ac:dyDescent="0.4">
      <c r="C1496" t="str">
        <f t="shared" si="108"/>
        <v/>
      </c>
      <c r="T1496" s="9">
        <f t="shared" si="109"/>
        <v>0</v>
      </c>
      <c r="Z1496" s="9">
        <f t="shared" si="110"/>
        <v>0</v>
      </c>
      <c r="AD1496" s="9">
        <f t="shared" si="111"/>
        <v>0</v>
      </c>
    </row>
    <row r="1497" spans="3:30" x14ac:dyDescent="0.4">
      <c r="C1497" t="str">
        <f t="shared" si="108"/>
        <v/>
      </c>
      <c r="T1497" s="9">
        <f t="shared" si="109"/>
        <v>0</v>
      </c>
      <c r="Z1497" s="9">
        <f t="shared" si="110"/>
        <v>0</v>
      </c>
      <c r="AD1497" s="9">
        <f t="shared" si="111"/>
        <v>0</v>
      </c>
    </row>
    <row r="1498" spans="3:30" x14ac:dyDescent="0.4">
      <c r="C1498" t="str">
        <f t="shared" si="108"/>
        <v/>
      </c>
      <c r="T1498" s="9">
        <f t="shared" si="109"/>
        <v>0</v>
      </c>
      <c r="Z1498" s="9">
        <f t="shared" si="110"/>
        <v>0</v>
      </c>
      <c r="AD1498" s="9">
        <f t="shared" si="111"/>
        <v>0</v>
      </c>
    </row>
    <row r="1499" spans="3:30" x14ac:dyDescent="0.4">
      <c r="C1499" t="str">
        <f t="shared" si="108"/>
        <v/>
      </c>
      <c r="T1499" s="9">
        <f t="shared" si="109"/>
        <v>0</v>
      </c>
      <c r="Z1499" s="9">
        <f t="shared" si="110"/>
        <v>0</v>
      </c>
      <c r="AD1499" s="9">
        <f t="shared" si="111"/>
        <v>0</v>
      </c>
    </row>
    <row r="1500" spans="3:30" x14ac:dyDescent="0.4">
      <c r="C1500" t="str">
        <f t="shared" si="108"/>
        <v/>
      </c>
      <c r="T1500" s="9">
        <f t="shared" si="109"/>
        <v>0</v>
      </c>
      <c r="Z1500" s="9">
        <f t="shared" si="110"/>
        <v>0</v>
      </c>
      <c r="AD1500" s="9">
        <f t="shared" si="111"/>
        <v>0</v>
      </c>
    </row>
    <row r="1501" spans="3:30" x14ac:dyDescent="0.4">
      <c r="C1501" t="str">
        <f t="shared" si="108"/>
        <v/>
      </c>
      <c r="T1501" s="9">
        <f t="shared" si="109"/>
        <v>0</v>
      </c>
      <c r="Z1501" s="9">
        <f t="shared" si="110"/>
        <v>0</v>
      </c>
      <c r="AD1501" s="9">
        <f t="shared" si="111"/>
        <v>0</v>
      </c>
    </row>
    <row r="1502" spans="3:30" x14ac:dyDescent="0.4">
      <c r="C1502" t="str">
        <f t="shared" si="108"/>
        <v/>
      </c>
      <c r="T1502" s="9">
        <f t="shared" si="109"/>
        <v>0</v>
      </c>
      <c r="Z1502" s="9">
        <f t="shared" si="110"/>
        <v>0</v>
      </c>
      <c r="AD1502" s="9">
        <f t="shared" si="111"/>
        <v>0</v>
      </c>
    </row>
    <row r="1503" spans="3:30" x14ac:dyDescent="0.4">
      <c r="C1503" t="str">
        <f t="shared" si="108"/>
        <v/>
      </c>
      <c r="T1503" s="9">
        <f t="shared" si="109"/>
        <v>0</v>
      </c>
      <c r="Z1503" s="9">
        <f t="shared" si="110"/>
        <v>0</v>
      </c>
      <c r="AD1503" s="9">
        <f t="shared" si="111"/>
        <v>0</v>
      </c>
    </row>
    <row r="1504" spans="3:30" x14ac:dyDescent="0.4">
      <c r="C1504" t="str">
        <f t="shared" si="108"/>
        <v/>
      </c>
      <c r="T1504" s="9">
        <f t="shared" si="109"/>
        <v>0</v>
      </c>
      <c r="Z1504" s="9">
        <f t="shared" si="110"/>
        <v>0</v>
      </c>
      <c r="AD1504" s="9">
        <f t="shared" si="111"/>
        <v>0</v>
      </c>
    </row>
    <row r="1505" spans="3:30" x14ac:dyDescent="0.4">
      <c r="C1505" t="str">
        <f t="shared" si="108"/>
        <v/>
      </c>
      <c r="T1505" s="9">
        <f t="shared" si="109"/>
        <v>0</v>
      </c>
      <c r="Z1505" s="9">
        <f t="shared" si="110"/>
        <v>0</v>
      </c>
      <c r="AD1505" s="9">
        <f t="shared" si="111"/>
        <v>0</v>
      </c>
    </row>
    <row r="1506" spans="3:30" x14ac:dyDescent="0.4">
      <c r="C1506" t="str">
        <f t="shared" si="108"/>
        <v/>
      </c>
      <c r="T1506" s="9">
        <f t="shared" si="109"/>
        <v>0</v>
      </c>
      <c r="Z1506" s="9">
        <f t="shared" si="110"/>
        <v>0</v>
      </c>
      <c r="AD1506" s="9">
        <f t="shared" si="111"/>
        <v>0</v>
      </c>
    </row>
    <row r="1507" spans="3:30" x14ac:dyDescent="0.4">
      <c r="C1507" t="str">
        <f t="shared" si="108"/>
        <v/>
      </c>
      <c r="T1507" s="9">
        <f t="shared" si="109"/>
        <v>0</v>
      </c>
      <c r="Z1507" s="9">
        <f t="shared" si="110"/>
        <v>0</v>
      </c>
      <c r="AD1507" s="9">
        <f t="shared" si="111"/>
        <v>0</v>
      </c>
    </row>
    <row r="1508" spans="3:30" x14ac:dyDescent="0.4">
      <c r="C1508" t="str">
        <f t="shared" si="108"/>
        <v/>
      </c>
      <c r="T1508" s="9">
        <f t="shared" si="109"/>
        <v>0</v>
      </c>
      <c r="Z1508" s="9">
        <f t="shared" si="110"/>
        <v>0</v>
      </c>
      <c r="AD1508" s="9">
        <f t="shared" si="111"/>
        <v>0</v>
      </c>
    </row>
    <row r="1509" spans="3:30" x14ac:dyDescent="0.4">
      <c r="C1509" t="str">
        <f t="shared" si="108"/>
        <v/>
      </c>
      <c r="T1509" s="9">
        <f t="shared" si="109"/>
        <v>0</v>
      </c>
      <c r="Z1509" s="9">
        <f t="shared" si="110"/>
        <v>0</v>
      </c>
      <c r="AD1509" s="9">
        <f t="shared" si="111"/>
        <v>0</v>
      </c>
    </row>
    <row r="1510" spans="3:30" x14ac:dyDescent="0.4">
      <c r="C1510" t="str">
        <f t="shared" si="108"/>
        <v/>
      </c>
      <c r="T1510" s="9">
        <f t="shared" si="109"/>
        <v>0</v>
      </c>
      <c r="Z1510" s="9">
        <f t="shared" si="110"/>
        <v>0</v>
      </c>
      <c r="AD1510" s="9">
        <f t="shared" si="111"/>
        <v>0</v>
      </c>
    </row>
    <row r="1511" spans="3:30" x14ac:dyDescent="0.4">
      <c r="C1511" t="str">
        <f t="shared" si="108"/>
        <v/>
      </c>
      <c r="T1511" s="9">
        <f t="shared" si="109"/>
        <v>0</v>
      </c>
      <c r="Z1511" s="9">
        <f t="shared" si="110"/>
        <v>0</v>
      </c>
      <c r="AD1511" s="9">
        <f t="shared" si="111"/>
        <v>0</v>
      </c>
    </row>
    <row r="1512" spans="3:30" x14ac:dyDescent="0.4">
      <c r="C1512" t="str">
        <f t="shared" si="108"/>
        <v/>
      </c>
      <c r="T1512" s="9">
        <f t="shared" si="109"/>
        <v>0</v>
      </c>
      <c r="Z1512" s="9">
        <f t="shared" si="110"/>
        <v>0</v>
      </c>
      <c r="AD1512" s="9">
        <f t="shared" si="111"/>
        <v>0</v>
      </c>
    </row>
    <row r="1513" spans="3:30" x14ac:dyDescent="0.4">
      <c r="C1513" t="str">
        <f t="shared" si="108"/>
        <v/>
      </c>
      <c r="T1513" s="9">
        <f t="shared" si="109"/>
        <v>0</v>
      </c>
      <c r="Z1513" s="9">
        <f t="shared" si="110"/>
        <v>0</v>
      </c>
      <c r="AD1513" s="9">
        <f t="shared" si="111"/>
        <v>0</v>
      </c>
    </row>
    <row r="1514" spans="3:30" x14ac:dyDescent="0.4">
      <c r="C1514" t="str">
        <f t="shared" si="108"/>
        <v/>
      </c>
      <c r="T1514" s="9">
        <f t="shared" si="109"/>
        <v>0</v>
      </c>
      <c r="Z1514" s="9">
        <f t="shared" si="110"/>
        <v>0</v>
      </c>
      <c r="AD1514" s="9">
        <f t="shared" si="111"/>
        <v>0</v>
      </c>
    </row>
    <row r="1515" spans="3:30" x14ac:dyDescent="0.4">
      <c r="C1515" t="str">
        <f t="shared" si="108"/>
        <v/>
      </c>
      <c r="T1515" s="9">
        <f t="shared" si="109"/>
        <v>0</v>
      </c>
      <c r="Z1515" s="9">
        <f t="shared" si="110"/>
        <v>0</v>
      </c>
      <c r="AD1515" s="9">
        <f t="shared" si="111"/>
        <v>0</v>
      </c>
    </row>
    <row r="1516" spans="3:30" x14ac:dyDescent="0.4">
      <c r="C1516" t="str">
        <f t="shared" si="108"/>
        <v/>
      </c>
      <c r="T1516" s="9">
        <f t="shared" si="109"/>
        <v>0</v>
      </c>
      <c r="Z1516" s="9">
        <f t="shared" si="110"/>
        <v>0</v>
      </c>
      <c r="AD1516" s="9">
        <f t="shared" si="111"/>
        <v>0</v>
      </c>
    </row>
    <row r="1517" spans="3:30" x14ac:dyDescent="0.4">
      <c r="C1517" t="str">
        <f t="shared" si="108"/>
        <v/>
      </c>
      <c r="T1517" s="9">
        <f t="shared" si="109"/>
        <v>0</v>
      </c>
      <c r="Z1517" s="9">
        <f t="shared" si="110"/>
        <v>0</v>
      </c>
      <c r="AD1517" s="9">
        <f t="shared" si="111"/>
        <v>0</v>
      </c>
    </row>
    <row r="1518" spans="3:30" x14ac:dyDescent="0.4">
      <c r="C1518" t="str">
        <f t="shared" si="108"/>
        <v/>
      </c>
      <c r="T1518" s="9">
        <f t="shared" si="109"/>
        <v>0</v>
      </c>
      <c r="Z1518" s="9">
        <f t="shared" si="110"/>
        <v>0</v>
      </c>
      <c r="AD1518" s="9">
        <f t="shared" si="111"/>
        <v>0</v>
      </c>
    </row>
    <row r="1519" spans="3:30" x14ac:dyDescent="0.4">
      <c r="C1519" t="str">
        <f t="shared" si="108"/>
        <v/>
      </c>
      <c r="T1519" s="9">
        <f t="shared" si="109"/>
        <v>0</v>
      </c>
      <c r="Z1519" s="9">
        <f t="shared" si="110"/>
        <v>0</v>
      </c>
      <c r="AD1519" s="9">
        <f t="shared" si="111"/>
        <v>0</v>
      </c>
    </row>
    <row r="1520" spans="3:30" x14ac:dyDescent="0.4">
      <c r="C1520" t="str">
        <f t="shared" si="108"/>
        <v/>
      </c>
      <c r="T1520" s="9">
        <f t="shared" si="109"/>
        <v>0</v>
      </c>
      <c r="Z1520" s="9">
        <f t="shared" si="110"/>
        <v>0</v>
      </c>
      <c r="AD1520" s="9">
        <f t="shared" si="111"/>
        <v>0</v>
      </c>
    </row>
    <row r="1521" spans="3:30" x14ac:dyDescent="0.4">
      <c r="C1521" t="str">
        <f t="shared" si="108"/>
        <v/>
      </c>
      <c r="T1521" s="9">
        <f t="shared" si="109"/>
        <v>0</v>
      </c>
      <c r="Z1521" s="9">
        <f t="shared" si="110"/>
        <v>0</v>
      </c>
      <c r="AD1521" s="9">
        <f t="shared" si="111"/>
        <v>0</v>
      </c>
    </row>
    <row r="1522" spans="3:30" x14ac:dyDescent="0.4">
      <c r="C1522" t="str">
        <f t="shared" si="108"/>
        <v/>
      </c>
      <c r="T1522" s="9">
        <f t="shared" si="109"/>
        <v>0</v>
      </c>
      <c r="Z1522" s="9">
        <f t="shared" si="110"/>
        <v>0</v>
      </c>
      <c r="AD1522" s="9">
        <f t="shared" si="111"/>
        <v>0</v>
      </c>
    </row>
    <row r="1523" spans="3:30" x14ac:dyDescent="0.4">
      <c r="C1523" t="str">
        <f t="shared" si="108"/>
        <v/>
      </c>
      <c r="T1523" s="9">
        <f t="shared" si="109"/>
        <v>0</v>
      </c>
      <c r="Z1523" s="9">
        <f t="shared" si="110"/>
        <v>0</v>
      </c>
      <c r="AD1523" s="9">
        <f t="shared" si="111"/>
        <v>0</v>
      </c>
    </row>
    <row r="1524" spans="3:30" x14ac:dyDescent="0.4">
      <c r="C1524" t="str">
        <f t="shared" si="108"/>
        <v/>
      </c>
      <c r="T1524" s="9">
        <f t="shared" si="109"/>
        <v>0</v>
      </c>
      <c r="Z1524" s="9">
        <f t="shared" si="110"/>
        <v>0</v>
      </c>
      <c r="AD1524" s="9">
        <f t="shared" si="111"/>
        <v>0</v>
      </c>
    </row>
    <row r="1525" spans="3:30" x14ac:dyDescent="0.4">
      <c r="C1525" t="str">
        <f t="shared" si="108"/>
        <v/>
      </c>
      <c r="T1525" s="9">
        <f t="shared" si="109"/>
        <v>0</v>
      </c>
      <c r="Z1525" s="9">
        <f t="shared" si="110"/>
        <v>0</v>
      </c>
      <c r="AD1525" s="9">
        <f t="shared" si="111"/>
        <v>0</v>
      </c>
    </row>
    <row r="1526" spans="3:30" x14ac:dyDescent="0.4">
      <c r="C1526" t="str">
        <f t="shared" si="108"/>
        <v/>
      </c>
      <c r="T1526" s="9">
        <f t="shared" si="109"/>
        <v>0</v>
      </c>
      <c r="Z1526" s="9">
        <f t="shared" si="110"/>
        <v>0</v>
      </c>
      <c r="AD1526" s="9">
        <f t="shared" si="111"/>
        <v>0</v>
      </c>
    </row>
    <row r="1527" spans="3:30" x14ac:dyDescent="0.4">
      <c r="C1527" t="str">
        <f t="shared" si="108"/>
        <v/>
      </c>
      <c r="T1527" s="9">
        <f t="shared" si="109"/>
        <v>0</v>
      </c>
      <c r="Z1527" s="9">
        <f t="shared" si="110"/>
        <v>0</v>
      </c>
      <c r="AD1527" s="9">
        <f t="shared" si="111"/>
        <v>0</v>
      </c>
    </row>
    <row r="1528" spans="3:30" x14ac:dyDescent="0.4">
      <c r="C1528" t="str">
        <f t="shared" si="108"/>
        <v/>
      </c>
      <c r="T1528" s="9">
        <f t="shared" si="109"/>
        <v>0</v>
      </c>
      <c r="Z1528" s="9">
        <f t="shared" si="110"/>
        <v>0</v>
      </c>
      <c r="AD1528" s="9">
        <f t="shared" si="111"/>
        <v>0</v>
      </c>
    </row>
    <row r="1529" spans="3:30" x14ac:dyDescent="0.4">
      <c r="C1529" t="str">
        <f t="shared" si="108"/>
        <v/>
      </c>
      <c r="T1529" s="9">
        <f t="shared" si="109"/>
        <v>0</v>
      </c>
      <c r="Z1529" s="9">
        <f t="shared" si="110"/>
        <v>0</v>
      </c>
      <c r="AD1529" s="9">
        <f t="shared" si="111"/>
        <v>0</v>
      </c>
    </row>
    <row r="1530" spans="3:30" x14ac:dyDescent="0.4">
      <c r="C1530" t="str">
        <f t="shared" si="108"/>
        <v/>
      </c>
      <c r="T1530" s="9">
        <f t="shared" si="109"/>
        <v>0</v>
      </c>
      <c r="Z1530" s="9">
        <f t="shared" si="110"/>
        <v>0</v>
      </c>
      <c r="AD1530" s="9">
        <f t="shared" si="111"/>
        <v>0</v>
      </c>
    </row>
    <row r="1531" spans="3:30" x14ac:dyDescent="0.4">
      <c r="C1531" t="str">
        <f t="shared" si="108"/>
        <v/>
      </c>
      <c r="T1531" s="9">
        <f t="shared" si="109"/>
        <v>0</v>
      </c>
      <c r="Z1531" s="9">
        <f t="shared" si="110"/>
        <v>0</v>
      </c>
      <c r="AD1531" s="9">
        <f t="shared" si="111"/>
        <v>0</v>
      </c>
    </row>
    <row r="1532" spans="3:30" x14ac:dyDescent="0.4">
      <c r="C1532" t="str">
        <f t="shared" si="108"/>
        <v/>
      </c>
      <c r="T1532" s="9">
        <f t="shared" si="109"/>
        <v>0</v>
      </c>
      <c r="Z1532" s="9">
        <f t="shared" si="110"/>
        <v>0</v>
      </c>
      <c r="AD1532" s="9">
        <f t="shared" si="111"/>
        <v>0</v>
      </c>
    </row>
    <row r="1533" spans="3:30" x14ac:dyDescent="0.4">
      <c r="C1533" t="str">
        <f t="shared" si="108"/>
        <v/>
      </c>
      <c r="T1533" s="9">
        <f t="shared" si="109"/>
        <v>0</v>
      </c>
      <c r="Z1533" s="9">
        <f t="shared" si="110"/>
        <v>0</v>
      </c>
      <c r="AD1533" s="9">
        <f t="shared" si="111"/>
        <v>0</v>
      </c>
    </row>
    <row r="1534" spans="3:30" x14ac:dyDescent="0.4">
      <c r="C1534" t="str">
        <f t="shared" si="108"/>
        <v/>
      </c>
      <c r="T1534" s="9">
        <f t="shared" si="109"/>
        <v>0</v>
      </c>
      <c r="Z1534" s="9">
        <f t="shared" si="110"/>
        <v>0</v>
      </c>
      <c r="AD1534" s="9">
        <f t="shared" si="111"/>
        <v>0</v>
      </c>
    </row>
    <row r="1535" spans="3:30" x14ac:dyDescent="0.4">
      <c r="C1535" t="str">
        <f t="shared" si="108"/>
        <v/>
      </c>
      <c r="T1535" s="9">
        <f t="shared" si="109"/>
        <v>0</v>
      </c>
      <c r="Z1535" s="9">
        <f t="shared" si="110"/>
        <v>0</v>
      </c>
      <c r="AD1535" s="9">
        <f t="shared" si="111"/>
        <v>0</v>
      </c>
    </row>
    <row r="1536" spans="3:30" x14ac:dyDescent="0.4">
      <c r="C1536" t="str">
        <f t="shared" si="108"/>
        <v/>
      </c>
      <c r="T1536" s="9">
        <f t="shared" si="109"/>
        <v>0</v>
      </c>
      <c r="Z1536" s="9">
        <f t="shared" si="110"/>
        <v>0</v>
      </c>
      <c r="AD1536" s="9">
        <f t="shared" si="111"/>
        <v>0</v>
      </c>
    </row>
    <row r="1537" spans="3:30" x14ac:dyDescent="0.4">
      <c r="C1537" t="str">
        <f t="shared" si="108"/>
        <v/>
      </c>
      <c r="T1537" s="9">
        <f t="shared" si="109"/>
        <v>0</v>
      </c>
      <c r="Z1537" s="9">
        <f t="shared" si="110"/>
        <v>0</v>
      </c>
      <c r="AD1537" s="9">
        <f t="shared" si="111"/>
        <v>0</v>
      </c>
    </row>
    <row r="1538" spans="3:30" x14ac:dyDescent="0.4">
      <c r="C1538" t="str">
        <f t="shared" si="108"/>
        <v/>
      </c>
      <c r="T1538" s="9">
        <f t="shared" si="109"/>
        <v>0</v>
      </c>
      <c r="Z1538" s="9">
        <f t="shared" si="110"/>
        <v>0</v>
      </c>
      <c r="AD1538" s="9">
        <f t="shared" si="111"/>
        <v>0</v>
      </c>
    </row>
    <row r="1539" spans="3:30" x14ac:dyDescent="0.4">
      <c r="C1539" t="str">
        <f t="shared" ref="C1539:C1602" si="112">IF(A1539="","",$J$1&amp;"\"&amp;A1539)</f>
        <v/>
      </c>
      <c r="T1539" s="9">
        <f t="shared" si="109"/>
        <v>0</v>
      </c>
      <c r="Z1539" s="9">
        <f t="shared" si="110"/>
        <v>0</v>
      </c>
      <c r="AD1539" s="9">
        <f t="shared" si="111"/>
        <v>0</v>
      </c>
    </row>
    <row r="1540" spans="3:30" x14ac:dyDescent="0.4">
      <c r="C1540" t="str">
        <f t="shared" si="112"/>
        <v/>
      </c>
      <c r="T1540" s="9">
        <f t="shared" si="109"/>
        <v>0</v>
      </c>
      <c r="Z1540" s="9">
        <f t="shared" si="110"/>
        <v>0</v>
      </c>
      <c r="AD1540" s="9">
        <f t="shared" si="111"/>
        <v>0</v>
      </c>
    </row>
    <row r="1541" spans="3:30" x14ac:dyDescent="0.4">
      <c r="C1541" t="str">
        <f t="shared" si="112"/>
        <v/>
      </c>
      <c r="T1541" s="9">
        <f t="shared" si="109"/>
        <v>0</v>
      </c>
      <c r="Z1541" s="9">
        <f t="shared" si="110"/>
        <v>0</v>
      </c>
      <c r="AD1541" s="9">
        <f t="shared" si="111"/>
        <v>0</v>
      </c>
    </row>
    <row r="1542" spans="3:30" x14ac:dyDescent="0.4">
      <c r="C1542" t="str">
        <f t="shared" si="112"/>
        <v/>
      </c>
      <c r="T1542" s="9">
        <f t="shared" si="109"/>
        <v>0</v>
      </c>
      <c r="Z1542" s="9">
        <f t="shared" si="110"/>
        <v>0</v>
      </c>
      <c r="AD1542" s="9">
        <f t="shared" si="111"/>
        <v>0</v>
      </c>
    </row>
    <row r="1543" spans="3:30" x14ac:dyDescent="0.4">
      <c r="C1543" t="str">
        <f t="shared" si="112"/>
        <v/>
      </c>
      <c r="T1543" s="9">
        <f t="shared" si="109"/>
        <v>0</v>
      </c>
      <c r="Z1543" s="9">
        <f t="shared" si="110"/>
        <v>0</v>
      </c>
      <c r="AD1543" s="9">
        <f t="shared" si="111"/>
        <v>0</v>
      </c>
    </row>
    <row r="1544" spans="3:30" x14ac:dyDescent="0.4">
      <c r="C1544" t="str">
        <f t="shared" si="112"/>
        <v/>
      </c>
      <c r="T1544" s="9">
        <f t="shared" ref="T1544:T1607" si="113">(COUNTIFS(TH_TK,N1544,TH_DuNo,O1544,TH_DuNoNT,P1544,TH_DuCo,Q1544,TH_DuCoNT,R1544,TH_SoLuong,S1544)&gt;0)*1</f>
        <v>0</v>
      </c>
      <c r="Z1544" s="9">
        <f t="shared" ref="Z1544:Z1607" si="114">(COUNTIFS(NV,U1544,TK,V1544,TongNo,W1544,TongCo,X1544,SoLuong,Y1544)&gt;0)*1</f>
        <v>0</v>
      </c>
      <c r="AD1544" s="9">
        <f t="shared" ref="AD1544:AD1607" si="115">COUNTIFS(ReportType,AA1544,ItemCode,AB1544,Amount,AC1544)</f>
        <v>0</v>
      </c>
    </row>
    <row r="1545" spans="3:30" x14ac:dyDescent="0.4">
      <c r="C1545" t="str">
        <f t="shared" si="112"/>
        <v/>
      </c>
      <c r="T1545" s="9">
        <f t="shared" si="113"/>
        <v>0</v>
      </c>
      <c r="Z1545" s="9">
        <f t="shared" si="114"/>
        <v>0</v>
      </c>
      <c r="AD1545" s="9">
        <f t="shared" si="115"/>
        <v>0</v>
      </c>
    </row>
    <row r="1546" spans="3:30" x14ac:dyDescent="0.4">
      <c r="C1546" t="str">
        <f t="shared" si="112"/>
        <v/>
      </c>
      <c r="T1546" s="9">
        <f t="shared" si="113"/>
        <v>0</v>
      </c>
      <c r="Z1546" s="9">
        <f t="shared" si="114"/>
        <v>0</v>
      </c>
      <c r="AD1546" s="9">
        <f t="shared" si="115"/>
        <v>0</v>
      </c>
    </row>
    <row r="1547" spans="3:30" x14ac:dyDescent="0.4">
      <c r="C1547" t="str">
        <f t="shared" si="112"/>
        <v/>
      </c>
      <c r="T1547" s="9">
        <f t="shared" si="113"/>
        <v>0</v>
      </c>
      <c r="Z1547" s="9">
        <f t="shared" si="114"/>
        <v>0</v>
      </c>
      <c r="AD1547" s="9">
        <f t="shared" si="115"/>
        <v>0</v>
      </c>
    </row>
    <row r="1548" spans="3:30" x14ac:dyDescent="0.4">
      <c r="C1548" t="str">
        <f t="shared" si="112"/>
        <v/>
      </c>
      <c r="T1548" s="9">
        <f t="shared" si="113"/>
        <v>0</v>
      </c>
      <c r="Z1548" s="9">
        <f t="shared" si="114"/>
        <v>0</v>
      </c>
      <c r="AD1548" s="9">
        <f t="shared" si="115"/>
        <v>0</v>
      </c>
    </row>
    <row r="1549" spans="3:30" x14ac:dyDescent="0.4">
      <c r="C1549" t="str">
        <f t="shared" si="112"/>
        <v/>
      </c>
      <c r="T1549" s="9">
        <f t="shared" si="113"/>
        <v>0</v>
      </c>
      <c r="Z1549" s="9">
        <f t="shared" si="114"/>
        <v>0</v>
      </c>
      <c r="AD1549" s="9">
        <f t="shared" si="115"/>
        <v>0</v>
      </c>
    </row>
    <row r="1550" spans="3:30" x14ac:dyDescent="0.4">
      <c r="C1550" t="str">
        <f t="shared" si="112"/>
        <v/>
      </c>
      <c r="T1550" s="9">
        <f t="shared" si="113"/>
        <v>0</v>
      </c>
      <c r="Z1550" s="9">
        <f t="shared" si="114"/>
        <v>0</v>
      </c>
      <c r="AD1550" s="9">
        <f t="shared" si="115"/>
        <v>0</v>
      </c>
    </row>
    <row r="1551" spans="3:30" x14ac:dyDescent="0.4">
      <c r="C1551" t="str">
        <f t="shared" si="112"/>
        <v/>
      </c>
      <c r="T1551" s="9">
        <f t="shared" si="113"/>
        <v>0</v>
      </c>
      <c r="Z1551" s="9">
        <f t="shared" si="114"/>
        <v>0</v>
      </c>
      <c r="AD1551" s="9">
        <f t="shared" si="115"/>
        <v>0</v>
      </c>
    </row>
    <row r="1552" spans="3:30" x14ac:dyDescent="0.4">
      <c r="C1552" t="str">
        <f t="shared" si="112"/>
        <v/>
      </c>
      <c r="T1552" s="9">
        <f t="shared" si="113"/>
        <v>0</v>
      </c>
      <c r="Z1552" s="9">
        <f t="shared" si="114"/>
        <v>0</v>
      </c>
      <c r="AD1552" s="9">
        <f t="shared" si="115"/>
        <v>0</v>
      </c>
    </row>
    <row r="1553" spans="3:30" x14ac:dyDescent="0.4">
      <c r="C1553" t="str">
        <f t="shared" si="112"/>
        <v/>
      </c>
      <c r="T1553" s="9">
        <f t="shared" si="113"/>
        <v>0</v>
      </c>
      <c r="Z1553" s="9">
        <f t="shared" si="114"/>
        <v>0</v>
      </c>
      <c r="AD1553" s="9">
        <f t="shared" si="115"/>
        <v>0</v>
      </c>
    </row>
    <row r="1554" spans="3:30" x14ac:dyDescent="0.4">
      <c r="C1554" t="str">
        <f t="shared" si="112"/>
        <v/>
      </c>
      <c r="T1554" s="9">
        <f t="shared" si="113"/>
        <v>0</v>
      </c>
      <c r="Z1554" s="9">
        <f t="shared" si="114"/>
        <v>0</v>
      </c>
      <c r="AD1554" s="9">
        <f t="shared" si="115"/>
        <v>0</v>
      </c>
    </row>
    <row r="1555" spans="3:30" x14ac:dyDescent="0.4">
      <c r="C1555" t="str">
        <f t="shared" si="112"/>
        <v/>
      </c>
      <c r="T1555" s="9">
        <f t="shared" si="113"/>
        <v>0</v>
      </c>
      <c r="Z1555" s="9">
        <f t="shared" si="114"/>
        <v>0</v>
      </c>
      <c r="AD1555" s="9">
        <f t="shared" si="115"/>
        <v>0</v>
      </c>
    </row>
    <row r="1556" spans="3:30" x14ac:dyDescent="0.4">
      <c r="C1556" t="str">
        <f t="shared" si="112"/>
        <v/>
      </c>
      <c r="T1556" s="9">
        <f t="shared" si="113"/>
        <v>0</v>
      </c>
      <c r="Z1556" s="9">
        <f t="shared" si="114"/>
        <v>0</v>
      </c>
      <c r="AD1556" s="9">
        <f t="shared" si="115"/>
        <v>0</v>
      </c>
    </row>
    <row r="1557" spans="3:30" x14ac:dyDescent="0.4">
      <c r="C1557" t="str">
        <f t="shared" si="112"/>
        <v/>
      </c>
      <c r="T1557" s="9">
        <f t="shared" si="113"/>
        <v>0</v>
      </c>
      <c r="Z1557" s="9">
        <f t="shared" si="114"/>
        <v>0</v>
      </c>
      <c r="AD1557" s="9">
        <f t="shared" si="115"/>
        <v>0</v>
      </c>
    </row>
    <row r="1558" spans="3:30" x14ac:dyDescent="0.4">
      <c r="C1558" t="str">
        <f t="shared" si="112"/>
        <v/>
      </c>
      <c r="T1558" s="9">
        <f t="shared" si="113"/>
        <v>0</v>
      </c>
      <c r="Z1558" s="9">
        <f t="shared" si="114"/>
        <v>0</v>
      </c>
      <c r="AD1558" s="9">
        <f t="shared" si="115"/>
        <v>0</v>
      </c>
    </row>
    <row r="1559" spans="3:30" x14ac:dyDescent="0.4">
      <c r="C1559" t="str">
        <f t="shared" si="112"/>
        <v/>
      </c>
      <c r="T1559" s="9">
        <f t="shared" si="113"/>
        <v>0</v>
      </c>
      <c r="Z1559" s="9">
        <f t="shared" si="114"/>
        <v>0</v>
      </c>
      <c r="AD1559" s="9">
        <f t="shared" si="115"/>
        <v>0</v>
      </c>
    </row>
    <row r="1560" spans="3:30" x14ac:dyDescent="0.4">
      <c r="C1560" t="str">
        <f t="shared" si="112"/>
        <v/>
      </c>
      <c r="T1560" s="9">
        <f t="shared" si="113"/>
        <v>0</v>
      </c>
      <c r="Z1560" s="9">
        <f t="shared" si="114"/>
        <v>0</v>
      </c>
      <c r="AD1560" s="9">
        <f t="shared" si="115"/>
        <v>0</v>
      </c>
    </row>
    <row r="1561" spans="3:30" x14ac:dyDescent="0.4">
      <c r="C1561" t="str">
        <f t="shared" si="112"/>
        <v/>
      </c>
      <c r="T1561" s="9">
        <f t="shared" si="113"/>
        <v>0</v>
      </c>
      <c r="Z1561" s="9">
        <f t="shared" si="114"/>
        <v>0</v>
      </c>
      <c r="AD1561" s="9">
        <f t="shared" si="115"/>
        <v>0</v>
      </c>
    </row>
    <row r="1562" spans="3:30" x14ac:dyDescent="0.4">
      <c r="C1562" t="str">
        <f t="shared" si="112"/>
        <v/>
      </c>
      <c r="T1562" s="9">
        <f t="shared" si="113"/>
        <v>0</v>
      </c>
      <c r="Z1562" s="9">
        <f t="shared" si="114"/>
        <v>0</v>
      </c>
      <c r="AD1562" s="9">
        <f t="shared" si="115"/>
        <v>0</v>
      </c>
    </row>
    <row r="1563" spans="3:30" x14ac:dyDescent="0.4">
      <c r="C1563" t="str">
        <f t="shared" si="112"/>
        <v/>
      </c>
      <c r="T1563" s="9">
        <f t="shared" si="113"/>
        <v>0</v>
      </c>
      <c r="Z1563" s="9">
        <f t="shared" si="114"/>
        <v>0</v>
      </c>
      <c r="AD1563" s="9">
        <f t="shared" si="115"/>
        <v>0</v>
      </c>
    </row>
    <row r="1564" spans="3:30" x14ac:dyDescent="0.4">
      <c r="C1564" t="str">
        <f t="shared" si="112"/>
        <v/>
      </c>
      <c r="T1564" s="9">
        <f t="shared" si="113"/>
        <v>0</v>
      </c>
      <c r="Z1564" s="9">
        <f t="shared" si="114"/>
        <v>0</v>
      </c>
      <c r="AD1564" s="9">
        <f t="shared" si="115"/>
        <v>0</v>
      </c>
    </row>
    <row r="1565" spans="3:30" x14ac:dyDescent="0.4">
      <c r="C1565" t="str">
        <f t="shared" si="112"/>
        <v/>
      </c>
      <c r="T1565" s="9">
        <f t="shared" si="113"/>
        <v>0</v>
      </c>
      <c r="Z1565" s="9">
        <f t="shared" si="114"/>
        <v>0</v>
      </c>
      <c r="AD1565" s="9">
        <f t="shared" si="115"/>
        <v>0</v>
      </c>
    </row>
    <row r="1566" spans="3:30" x14ac:dyDescent="0.4">
      <c r="C1566" t="str">
        <f t="shared" si="112"/>
        <v/>
      </c>
      <c r="T1566" s="9">
        <f t="shared" si="113"/>
        <v>0</v>
      </c>
      <c r="Z1566" s="9">
        <f t="shared" si="114"/>
        <v>0</v>
      </c>
      <c r="AD1566" s="9">
        <f t="shared" si="115"/>
        <v>0</v>
      </c>
    </row>
    <row r="1567" spans="3:30" x14ac:dyDescent="0.4">
      <c r="C1567" t="str">
        <f t="shared" si="112"/>
        <v/>
      </c>
      <c r="T1567" s="9">
        <f t="shared" si="113"/>
        <v>0</v>
      </c>
      <c r="Z1567" s="9">
        <f t="shared" si="114"/>
        <v>0</v>
      </c>
      <c r="AD1567" s="9">
        <f t="shared" si="115"/>
        <v>0</v>
      </c>
    </row>
    <row r="1568" spans="3:30" x14ac:dyDescent="0.4">
      <c r="C1568" t="str">
        <f t="shared" si="112"/>
        <v/>
      </c>
      <c r="T1568" s="9">
        <f t="shared" si="113"/>
        <v>0</v>
      </c>
      <c r="Z1568" s="9">
        <f t="shared" si="114"/>
        <v>0</v>
      </c>
      <c r="AD1568" s="9">
        <f t="shared" si="115"/>
        <v>0</v>
      </c>
    </row>
    <row r="1569" spans="3:30" x14ac:dyDescent="0.4">
      <c r="C1569" t="str">
        <f t="shared" si="112"/>
        <v/>
      </c>
      <c r="T1569" s="9">
        <f t="shared" si="113"/>
        <v>0</v>
      </c>
      <c r="Z1569" s="9">
        <f t="shared" si="114"/>
        <v>0</v>
      </c>
      <c r="AD1569" s="9">
        <f t="shared" si="115"/>
        <v>0</v>
      </c>
    </row>
    <row r="1570" spans="3:30" x14ac:dyDescent="0.4">
      <c r="C1570" t="str">
        <f t="shared" si="112"/>
        <v/>
      </c>
      <c r="T1570" s="9">
        <f t="shared" si="113"/>
        <v>0</v>
      </c>
      <c r="Z1570" s="9">
        <f t="shared" si="114"/>
        <v>0</v>
      </c>
      <c r="AD1570" s="9">
        <f t="shared" si="115"/>
        <v>0</v>
      </c>
    </row>
    <row r="1571" spans="3:30" x14ac:dyDescent="0.4">
      <c r="C1571" t="str">
        <f t="shared" si="112"/>
        <v/>
      </c>
      <c r="T1571" s="9">
        <f t="shared" si="113"/>
        <v>0</v>
      </c>
      <c r="Z1571" s="9">
        <f t="shared" si="114"/>
        <v>0</v>
      </c>
      <c r="AD1571" s="9">
        <f t="shared" si="115"/>
        <v>0</v>
      </c>
    </row>
    <row r="1572" spans="3:30" x14ac:dyDescent="0.4">
      <c r="C1572" t="str">
        <f t="shared" si="112"/>
        <v/>
      </c>
      <c r="T1572" s="9">
        <f t="shared" si="113"/>
        <v>0</v>
      </c>
      <c r="Z1572" s="9">
        <f t="shared" si="114"/>
        <v>0</v>
      </c>
      <c r="AD1572" s="9">
        <f t="shared" si="115"/>
        <v>0</v>
      </c>
    </row>
    <row r="1573" spans="3:30" x14ac:dyDescent="0.4">
      <c r="C1573" t="str">
        <f t="shared" si="112"/>
        <v/>
      </c>
      <c r="T1573" s="9">
        <f t="shared" si="113"/>
        <v>0</v>
      </c>
      <c r="Z1573" s="9">
        <f t="shared" si="114"/>
        <v>0</v>
      </c>
      <c r="AD1573" s="9">
        <f t="shared" si="115"/>
        <v>0</v>
      </c>
    </row>
    <row r="1574" spans="3:30" x14ac:dyDescent="0.4">
      <c r="C1574" t="str">
        <f t="shared" si="112"/>
        <v/>
      </c>
      <c r="T1574" s="9">
        <f t="shared" si="113"/>
        <v>0</v>
      </c>
      <c r="Z1574" s="9">
        <f t="shared" si="114"/>
        <v>0</v>
      </c>
      <c r="AD1574" s="9">
        <f t="shared" si="115"/>
        <v>0</v>
      </c>
    </row>
    <row r="1575" spans="3:30" x14ac:dyDescent="0.4">
      <c r="C1575" t="str">
        <f t="shared" si="112"/>
        <v/>
      </c>
      <c r="T1575" s="9">
        <f t="shared" si="113"/>
        <v>0</v>
      </c>
      <c r="Z1575" s="9">
        <f t="shared" si="114"/>
        <v>0</v>
      </c>
      <c r="AD1575" s="9">
        <f t="shared" si="115"/>
        <v>0</v>
      </c>
    </row>
    <row r="1576" spans="3:30" x14ac:dyDescent="0.4">
      <c r="C1576" t="str">
        <f t="shared" si="112"/>
        <v/>
      </c>
      <c r="T1576" s="9">
        <f t="shared" si="113"/>
        <v>0</v>
      </c>
      <c r="Z1576" s="9">
        <f t="shared" si="114"/>
        <v>0</v>
      </c>
      <c r="AD1576" s="9">
        <f t="shared" si="115"/>
        <v>0</v>
      </c>
    </row>
    <row r="1577" spans="3:30" x14ac:dyDescent="0.4">
      <c r="C1577" t="str">
        <f t="shared" si="112"/>
        <v/>
      </c>
      <c r="T1577" s="9">
        <f t="shared" si="113"/>
        <v>0</v>
      </c>
      <c r="Z1577" s="9">
        <f t="shared" si="114"/>
        <v>0</v>
      </c>
      <c r="AD1577" s="9">
        <f t="shared" si="115"/>
        <v>0</v>
      </c>
    </row>
    <row r="1578" spans="3:30" x14ac:dyDescent="0.4">
      <c r="C1578" t="str">
        <f t="shared" si="112"/>
        <v/>
      </c>
      <c r="T1578" s="9">
        <f t="shared" si="113"/>
        <v>0</v>
      </c>
      <c r="Z1578" s="9">
        <f t="shared" si="114"/>
        <v>0</v>
      </c>
      <c r="AD1578" s="9">
        <f t="shared" si="115"/>
        <v>0</v>
      </c>
    </row>
    <row r="1579" spans="3:30" x14ac:dyDescent="0.4">
      <c r="C1579" t="str">
        <f t="shared" si="112"/>
        <v/>
      </c>
      <c r="T1579" s="9">
        <f t="shared" si="113"/>
        <v>0</v>
      </c>
      <c r="Z1579" s="9">
        <f t="shared" si="114"/>
        <v>0</v>
      </c>
      <c r="AD1579" s="9">
        <f t="shared" si="115"/>
        <v>0</v>
      </c>
    </row>
    <row r="1580" spans="3:30" x14ac:dyDescent="0.4">
      <c r="C1580" t="str">
        <f t="shared" si="112"/>
        <v/>
      </c>
      <c r="T1580" s="9">
        <f t="shared" si="113"/>
        <v>0</v>
      </c>
      <c r="Z1580" s="9">
        <f t="shared" si="114"/>
        <v>0</v>
      </c>
      <c r="AD1580" s="9">
        <f t="shared" si="115"/>
        <v>0</v>
      </c>
    </row>
    <row r="1581" spans="3:30" x14ac:dyDescent="0.4">
      <c r="C1581" t="str">
        <f t="shared" si="112"/>
        <v/>
      </c>
      <c r="T1581" s="9">
        <f t="shared" si="113"/>
        <v>0</v>
      </c>
      <c r="Z1581" s="9">
        <f t="shared" si="114"/>
        <v>0</v>
      </c>
      <c r="AD1581" s="9">
        <f t="shared" si="115"/>
        <v>0</v>
      </c>
    </row>
    <row r="1582" spans="3:30" x14ac:dyDescent="0.4">
      <c r="C1582" t="str">
        <f t="shared" si="112"/>
        <v/>
      </c>
      <c r="T1582" s="9">
        <f t="shared" si="113"/>
        <v>0</v>
      </c>
      <c r="Z1582" s="9">
        <f t="shared" si="114"/>
        <v>0</v>
      </c>
      <c r="AD1582" s="9">
        <f t="shared" si="115"/>
        <v>0</v>
      </c>
    </row>
    <row r="1583" spans="3:30" x14ac:dyDescent="0.4">
      <c r="C1583" t="str">
        <f t="shared" si="112"/>
        <v/>
      </c>
      <c r="T1583" s="9">
        <f t="shared" si="113"/>
        <v>0</v>
      </c>
      <c r="Z1583" s="9">
        <f t="shared" si="114"/>
        <v>0</v>
      </c>
      <c r="AD1583" s="9">
        <f t="shared" si="115"/>
        <v>0</v>
      </c>
    </row>
    <row r="1584" spans="3:30" x14ac:dyDescent="0.4">
      <c r="C1584" t="str">
        <f t="shared" si="112"/>
        <v/>
      </c>
      <c r="T1584" s="9">
        <f t="shared" si="113"/>
        <v>0</v>
      </c>
      <c r="Z1584" s="9">
        <f t="shared" si="114"/>
        <v>0</v>
      </c>
      <c r="AD1584" s="9">
        <f t="shared" si="115"/>
        <v>0</v>
      </c>
    </row>
    <row r="1585" spans="3:30" x14ac:dyDescent="0.4">
      <c r="C1585" t="str">
        <f t="shared" si="112"/>
        <v/>
      </c>
      <c r="T1585" s="9">
        <f t="shared" si="113"/>
        <v>0</v>
      </c>
      <c r="Z1585" s="9">
        <f t="shared" si="114"/>
        <v>0</v>
      </c>
      <c r="AD1585" s="9">
        <f t="shared" si="115"/>
        <v>0</v>
      </c>
    </row>
    <row r="1586" spans="3:30" x14ac:dyDescent="0.4">
      <c r="C1586" t="str">
        <f t="shared" si="112"/>
        <v/>
      </c>
      <c r="T1586" s="9">
        <f t="shared" si="113"/>
        <v>0</v>
      </c>
      <c r="Z1586" s="9">
        <f t="shared" si="114"/>
        <v>0</v>
      </c>
      <c r="AD1586" s="9">
        <f t="shared" si="115"/>
        <v>0</v>
      </c>
    </row>
    <row r="1587" spans="3:30" x14ac:dyDescent="0.4">
      <c r="C1587" t="str">
        <f t="shared" si="112"/>
        <v/>
      </c>
      <c r="T1587" s="9">
        <f t="shared" si="113"/>
        <v>0</v>
      </c>
      <c r="Z1587" s="9">
        <f t="shared" si="114"/>
        <v>0</v>
      </c>
      <c r="AD1587" s="9">
        <f t="shared" si="115"/>
        <v>0</v>
      </c>
    </row>
    <row r="1588" spans="3:30" x14ac:dyDescent="0.4">
      <c r="C1588" t="str">
        <f t="shared" si="112"/>
        <v/>
      </c>
      <c r="T1588" s="9">
        <f t="shared" si="113"/>
        <v>0</v>
      </c>
      <c r="Z1588" s="9">
        <f t="shared" si="114"/>
        <v>0</v>
      </c>
      <c r="AD1588" s="9">
        <f t="shared" si="115"/>
        <v>0</v>
      </c>
    </row>
    <row r="1589" spans="3:30" x14ac:dyDescent="0.4">
      <c r="C1589" t="str">
        <f t="shared" si="112"/>
        <v/>
      </c>
      <c r="T1589" s="9">
        <f t="shared" si="113"/>
        <v>0</v>
      </c>
      <c r="Z1589" s="9">
        <f t="shared" si="114"/>
        <v>0</v>
      </c>
      <c r="AD1589" s="9">
        <f t="shared" si="115"/>
        <v>0</v>
      </c>
    </row>
    <row r="1590" spans="3:30" x14ac:dyDescent="0.4">
      <c r="C1590" t="str">
        <f t="shared" si="112"/>
        <v/>
      </c>
      <c r="T1590" s="9">
        <f t="shared" si="113"/>
        <v>0</v>
      </c>
      <c r="Z1590" s="9">
        <f t="shared" si="114"/>
        <v>0</v>
      </c>
      <c r="AD1590" s="9">
        <f t="shared" si="115"/>
        <v>0</v>
      </c>
    </row>
    <row r="1591" spans="3:30" x14ac:dyDescent="0.4">
      <c r="C1591" t="str">
        <f t="shared" si="112"/>
        <v/>
      </c>
      <c r="T1591" s="9">
        <f t="shared" si="113"/>
        <v>0</v>
      </c>
      <c r="Z1591" s="9">
        <f t="shared" si="114"/>
        <v>0</v>
      </c>
      <c r="AD1591" s="9">
        <f t="shared" si="115"/>
        <v>0</v>
      </c>
    </row>
    <row r="1592" spans="3:30" x14ac:dyDescent="0.4">
      <c r="C1592" t="str">
        <f t="shared" si="112"/>
        <v/>
      </c>
      <c r="T1592" s="9">
        <f t="shared" si="113"/>
        <v>0</v>
      </c>
      <c r="Z1592" s="9">
        <f t="shared" si="114"/>
        <v>0</v>
      </c>
      <c r="AD1592" s="9">
        <f t="shared" si="115"/>
        <v>0</v>
      </c>
    </row>
    <row r="1593" spans="3:30" x14ac:dyDescent="0.4">
      <c r="C1593" t="str">
        <f t="shared" si="112"/>
        <v/>
      </c>
      <c r="T1593" s="9">
        <f t="shared" si="113"/>
        <v>0</v>
      </c>
      <c r="Z1593" s="9">
        <f t="shared" si="114"/>
        <v>0</v>
      </c>
      <c r="AD1593" s="9">
        <f t="shared" si="115"/>
        <v>0</v>
      </c>
    </row>
    <row r="1594" spans="3:30" x14ac:dyDescent="0.4">
      <c r="C1594" t="str">
        <f t="shared" si="112"/>
        <v/>
      </c>
      <c r="T1594" s="9">
        <f t="shared" si="113"/>
        <v>0</v>
      </c>
      <c r="Z1594" s="9">
        <f t="shared" si="114"/>
        <v>0</v>
      </c>
      <c r="AD1594" s="9">
        <f t="shared" si="115"/>
        <v>0</v>
      </c>
    </row>
    <row r="1595" spans="3:30" x14ac:dyDescent="0.4">
      <c r="C1595" t="str">
        <f t="shared" si="112"/>
        <v/>
      </c>
      <c r="T1595" s="9">
        <f t="shared" si="113"/>
        <v>0</v>
      </c>
      <c r="Z1595" s="9">
        <f t="shared" si="114"/>
        <v>0</v>
      </c>
      <c r="AD1595" s="9">
        <f t="shared" si="115"/>
        <v>0</v>
      </c>
    </row>
    <row r="1596" spans="3:30" x14ac:dyDescent="0.4">
      <c r="C1596" t="str">
        <f t="shared" si="112"/>
        <v/>
      </c>
      <c r="T1596" s="9">
        <f t="shared" si="113"/>
        <v>0</v>
      </c>
      <c r="Z1596" s="9">
        <f t="shared" si="114"/>
        <v>0</v>
      </c>
      <c r="AD1596" s="9">
        <f t="shared" si="115"/>
        <v>0</v>
      </c>
    </row>
    <row r="1597" spans="3:30" x14ac:dyDescent="0.4">
      <c r="C1597" t="str">
        <f t="shared" si="112"/>
        <v/>
      </c>
      <c r="T1597" s="9">
        <f t="shared" si="113"/>
        <v>0</v>
      </c>
      <c r="Z1597" s="9">
        <f t="shared" si="114"/>
        <v>0</v>
      </c>
      <c r="AD1597" s="9">
        <f t="shared" si="115"/>
        <v>0</v>
      </c>
    </row>
    <row r="1598" spans="3:30" x14ac:dyDescent="0.4">
      <c r="C1598" t="str">
        <f t="shared" si="112"/>
        <v/>
      </c>
      <c r="T1598" s="9">
        <f t="shared" si="113"/>
        <v>0</v>
      </c>
      <c r="Z1598" s="9">
        <f t="shared" si="114"/>
        <v>0</v>
      </c>
      <c r="AD1598" s="9">
        <f t="shared" si="115"/>
        <v>0</v>
      </c>
    </row>
    <row r="1599" spans="3:30" x14ac:dyDescent="0.4">
      <c r="C1599" t="str">
        <f t="shared" si="112"/>
        <v/>
      </c>
      <c r="T1599" s="9">
        <f t="shared" si="113"/>
        <v>0</v>
      </c>
      <c r="Z1599" s="9">
        <f t="shared" si="114"/>
        <v>0</v>
      </c>
      <c r="AD1599" s="9">
        <f t="shared" si="115"/>
        <v>0</v>
      </c>
    </row>
    <row r="1600" spans="3:30" x14ac:dyDescent="0.4">
      <c r="C1600" t="str">
        <f t="shared" si="112"/>
        <v/>
      </c>
      <c r="T1600" s="9">
        <f t="shared" si="113"/>
        <v>0</v>
      </c>
      <c r="Z1600" s="9">
        <f t="shared" si="114"/>
        <v>0</v>
      </c>
      <c r="AD1600" s="9">
        <f t="shared" si="115"/>
        <v>0</v>
      </c>
    </row>
    <row r="1601" spans="3:30" x14ac:dyDescent="0.4">
      <c r="C1601" t="str">
        <f t="shared" si="112"/>
        <v/>
      </c>
      <c r="T1601" s="9">
        <f t="shared" si="113"/>
        <v>0</v>
      </c>
      <c r="Z1601" s="9">
        <f t="shared" si="114"/>
        <v>0</v>
      </c>
      <c r="AD1601" s="9">
        <f t="shared" si="115"/>
        <v>0</v>
      </c>
    </row>
    <row r="1602" spans="3:30" x14ac:dyDescent="0.4">
      <c r="C1602" t="str">
        <f t="shared" si="112"/>
        <v/>
      </c>
      <c r="T1602" s="9">
        <f t="shared" si="113"/>
        <v>0</v>
      </c>
      <c r="Z1602" s="9">
        <f t="shared" si="114"/>
        <v>0</v>
      </c>
      <c r="AD1602" s="9">
        <f t="shared" si="115"/>
        <v>0</v>
      </c>
    </row>
    <row r="1603" spans="3:30" x14ac:dyDescent="0.4">
      <c r="C1603" t="str">
        <f t="shared" ref="C1603:C1666" si="116">IF(A1603="","",$J$1&amp;"\"&amp;A1603)</f>
        <v/>
      </c>
      <c r="T1603" s="9">
        <f t="shared" si="113"/>
        <v>0</v>
      </c>
      <c r="Z1603" s="9">
        <f t="shared" si="114"/>
        <v>0</v>
      </c>
      <c r="AD1603" s="9">
        <f t="shared" si="115"/>
        <v>0</v>
      </c>
    </row>
    <row r="1604" spans="3:30" x14ac:dyDescent="0.4">
      <c r="C1604" t="str">
        <f t="shared" si="116"/>
        <v/>
      </c>
      <c r="T1604" s="9">
        <f t="shared" si="113"/>
        <v>0</v>
      </c>
      <c r="Z1604" s="9">
        <f t="shared" si="114"/>
        <v>0</v>
      </c>
      <c r="AD1604" s="9">
        <f t="shared" si="115"/>
        <v>0</v>
      </c>
    </row>
    <row r="1605" spans="3:30" x14ac:dyDescent="0.4">
      <c r="C1605" t="str">
        <f t="shared" si="116"/>
        <v/>
      </c>
      <c r="T1605" s="9">
        <f t="shared" si="113"/>
        <v>0</v>
      </c>
      <c r="Z1605" s="9">
        <f t="shared" si="114"/>
        <v>0</v>
      </c>
      <c r="AD1605" s="9">
        <f t="shared" si="115"/>
        <v>0</v>
      </c>
    </row>
    <row r="1606" spans="3:30" x14ac:dyDescent="0.4">
      <c r="C1606" t="str">
        <f t="shared" si="116"/>
        <v/>
      </c>
      <c r="T1606" s="9">
        <f t="shared" si="113"/>
        <v>0</v>
      </c>
      <c r="Z1606" s="9">
        <f t="shared" si="114"/>
        <v>0</v>
      </c>
      <c r="AD1606" s="9">
        <f t="shared" si="115"/>
        <v>0</v>
      </c>
    </row>
    <row r="1607" spans="3:30" x14ac:dyDescent="0.4">
      <c r="C1607" t="str">
        <f t="shared" si="116"/>
        <v/>
      </c>
      <c r="T1607" s="9">
        <f t="shared" si="113"/>
        <v>0</v>
      </c>
      <c r="Z1607" s="9">
        <f t="shared" si="114"/>
        <v>0</v>
      </c>
      <c r="AD1607" s="9">
        <f t="shared" si="115"/>
        <v>0</v>
      </c>
    </row>
    <row r="1608" spans="3:30" x14ac:dyDescent="0.4">
      <c r="C1608" t="str">
        <f t="shared" si="116"/>
        <v/>
      </c>
      <c r="T1608" s="9">
        <f t="shared" ref="T1608:T1671" si="117">(COUNTIFS(TH_TK,N1608,TH_DuNo,O1608,TH_DuNoNT,P1608,TH_DuCo,Q1608,TH_DuCoNT,R1608,TH_SoLuong,S1608)&gt;0)*1</f>
        <v>0</v>
      </c>
      <c r="Z1608" s="9">
        <f t="shared" ref="Z1608:Z1671" si="118">(COUNTIFS(NV,U1608,TK,V1608,TongNo,W1608,TongCo,X1608,SoLuong,Y1608)&gt;0)*1</f>
        <v>0</v>
      </c>
      <c r="AD1608" s="9">
        <f t="shared" ref="AD1608:AD1671" si="119">COUNTIFS(ReportType,AA1608,ItemCode,AB1608,Amount,AC1608)</f>
        <v>0</v>
      </c>
    </row>
    <row r="1609" spans="3:30" x14ac:dyDescent="0.4">
      <c r="C1609" t="str">
        <f t="shared" si="116"/>
        <v/>
      </c>
      <c r="T1609" s="9">
        <f t="shared" si="117"/>
        <v>0</v>
      </c>
      <c r="Z1609" s="9">
        <f t="shared" si="118"/>
        <v>0</v>
      </c>
      <c r="AD1609" s="9">
        <f t="shared" si="119"/>
        <v>0</v>
      </c>
    </row>
    <row r="1610" spans="3:30" x14ac:dyDescent="0.4">
      <c r="C1610" t="str">
        <f t="shared" si="116"/>
        <v/>
      </c>
      <c r="T1610" s="9">
        <f t="shared" si="117"/>
        <v>0</v>
      </c>
      <c r="Z1610" s="9">
        <f t="shared" si="118"/>
        <v>0</v>
      </c>
      <c r="AD1610" s="9">
        <f t="shared" si="119"/>
        <v>0</v>
      </c>
    </row>
    <row r="1611" spans="3:30" x14ac:dyDescent="0.4">
      <c r="C1611" t="str">
        <f t="shared" si="116"/>
        <v/>
      </c>
      <c r="T1611" s="9">
        <f t="shared" si="117"/>
        <v>0</v>
      </c>
      <c r="Z1611" s="9">
        <f t="shared" si="118"/>
        <v>0</v>
      </c>
      <c r="AD1611" s="9">
        <f t="shared" si="119"/>
        <v>0</v>
      </c>
    </row>
    <row r="1612" spans="3:30" x14ac:dyDescent="0.4">
      <c r="C1612" t="str">
        <f t="shared" si="116"/>
        <v/>
      </c>
      <c r="T1612" s="9">
        <f t="shared" si="117"/>
        <v>0</v>
      </c>
      <c r="Z1612" s="9">
        <f t="shared" si="118"/>
        <v>0</v>
      </c>
      <c r="AD1612" s="9">
        <f t="shared" si="119"/>
        <v>0</v>
      </c>
    </row>
    <row r="1613" spans="3:30" x14ac:dyDescent="0.4">
      <c r="C1613" t="str">
        <f t="shared" si="116"/>
        <v/>
      </c>
      <c r="T1613" s="9">
        <f t="shared" si="117"/>
        <v>0</v>
      </c>
      <c r="Z1613" s="9">
        <f t="shared" si="118"/>
        <v>0</v>
      </c>
      <c r="AD1613" s="9">
        <f t="shared" si="119"/>
        <v>0</v>
      </c>
    </row>
    <row r="1614" spans="3:30" x14ac:dyDescent="0.4">
      <c r="C1614" t="str">
        <f t="shared" si="116"/>
        <v/>
      </c>
      <c r="T1614" s="9">
        <f t="shared" si="117"/>
        <v>0</v>
      </c>
      <c r="Z1614" s="9">
        <f t="shared" si="118"/>
        <v>0</v>
      </c>
      <c r="AD1614" s="9">
        <f t="shared" si="119"/>
        <v>0</v>
      </c>
    </row>
    <row r="1615" spans="3:30" x14ac:dyDescent="0.4">
      <c r="C1615" t="str">
        <f t="shared" si="116"/>
        <v/>
      </c>
      <c r="T1615" s="9">
        <f t="shared" si="117"/>
        <v>0</v>
      </c>
      <c r="Z1615" s="9">
        <f t="shared" si="118"/>
        <v>0</v>
      </c>
      <c r="AD1615" s="9">
        <f t="shared" si="119"/>
        <v>0</v>
      </c>
    </row>
    <row r="1616" spans="3:30" x14ac:dyDescent="0.4">
      <c r="C1616" t="str">
        <f t="shared" si="116"/>
        <v/>
      </c>
      <c r="T1616" s="9">
        <f t="shared" si="117"/>
        <v>0</v>
      </c>
      <c r="Z1616" s="9">
        <f t="shared" si="118"/>
        <v>0</v>
      </c>
      <c r="AD1616" s="9">
        <f t="shared" si="119"/>
        <v>0</v>
      </c>
    </row>
    <row r="1617" spans="3:30" x14ac:dyDescent="0.4">
      <c r="C1617" t="str">
        <f t="shared" si="116"/>
        <v/>
      </c>
      <c r="T1617" s="9">
        <f t="shared" si="117"/>
        <v>0</v>
      </c>
      <c r="Z1617" s="9">
        <f t="shared" si="118"/>
        <v>0</v>
      </c>
      <c r="AD1617" s="9">
        <f t="shared" si="119"/>
        <v>0</v>
      </c>
    </row>
    <row r="1618" spans="3:30" x14ac:dyDescent="0.4">
      <c r="C1618" t="str">
        <f t="shared" si="116"/>
        <v/>
      </c>
      <c r="T1618" s="9">
        <f t="shared" si="117"/>
        <v>0</v>
      </c>
      <c r="Z1618" s="9">
        <f t="shared" si="118"/>
        <v>0</v>
      </c>
      <c r="AD1618" s="9">
        <f t="shared" si="119"/>
        <v>0</v>
      </c>
    </row>
    <row r="1619" spans="3:30" x14ac:dyDescent="0.4">
      <c r="C1619" t="str">
        <f t="shared" si="116"/>
        <v/>
      </c>
      <c r="T1619" s="9">
        <f t="shared" si="117"/>
        <v>0</v>
      </c>
      <c r="Z1619" s="9">
        <f t="shared" si="118"/>
        <v>0</v>
      </c>
      <c r="AD1619" s="9">
        <f t="shared" si="119"/>
        <v>0</v>
      </c>
    </row>
    <row r="1620" spans="3:30" x14ac:dyDescent="0.4">
      <c r="C1620" t="str">
        <f t="shared" si="116"/>
        <v/>
      </c>
      <c r="T1620" s="9">
        <f t="shared" si="117"/>
        <v>0</v>
      </c>
      <c r="Z1620" s="9">
        <f t="shared" si="118"/>
        <v>0</v>
      </c>
      <c r="AD1620" s="9">
        <f t="shared" si="119"/>
        <v>0</v>
      </c>
    </row>
    <row r="1621" spans="3:30" x14ac:dyDescent="0.4">
      <c r="C1621" t="str">
        <f t="shared" si="116"/>
        <v/>
      </c>
      <c r="T1621" s="9">
        <f t="shared" si="117"/>
        <v>0</v>
      </c>
      <c r="Z1621" s="9">
        <f t="shared" si="118"/>
        <v>0</v>
      </c>
      <c r="AD1621" s="9">
        <f t="shared" si="119"/>
        <v>0</v>
      </c>
    </row>
    <row r="1622" spans="3:30" x14ac:dyDescent="0.4">
      <c r="C1622" t="str">
        <f t="shared" si="116"/>
        <v/>
      </c>
      <c r="T1622" s="9">
        <f t="shared" si="117"/>
        <v>0</v>
      </c>
      <c r="Z1622" s="9">
        <f t="shared" si="118"/>
        <v>0</v>
      </c>
      <c r="AD1622" s="9">
        <f t="shared" si="119"/>
        <v>0</v>
      </c>
    </row>
    <row r="1623" spans="3:30" x14ac:dyDescent="0.4">
      <c r="C1623" t="str">
        <f t="shared" si="116"/>
        <v/>
      </c>
      <c r="T1623" s="9">
        <f t="shared" si="117"/>
        <v>0</v>
      </c>
      <c r="Z1623" s="9">
        <f t="shared" si="118"/>
        <v>0</v>
      </c>
      <c r="AD1623" s="9">
        <f t="shared" si="119"/>
        <v>0</v>
      </c>
    </row>
    <row r="1624" spans="3:30" x14ac:dyDescent="0.4">
      <c r="C1624" t="str">
        <f t="shared" si="116"/>
        <v/>
      </c>
      <c r="T1624" s="9">
        <f t="shared" si="117"/>
        <v>0</v>
      </c>
      <c r="Z1624" s="9">
        <f t="shared" si="118"/>
        <v>0</v>
      </c>
      <c r="AD1624" s="9">
        <f t="shared" si="119"/>
        <v>0</v>
      </c>
    </row>
    <row r="1625" spans="3:30" x14ac:dyDescent="0.4">
      <c r="C1625" t="str">
        <f t="shared" si="116"/>
        <v/>
      </c>
      <c r="T1625" s="9">
        <f t="shared" si="117"/>
        <v>0</v>
      </c>
      <c r="Z1625" s="9">
        <f t="shared" si="118"/>
        <v>0</v>
      </c>
      <c r="AD1625" s="9">
        <f t="shared" si="119"/>
        <v>0</v>
      </c>
    </row>
    <row r="1626" spans="3:30" x14ac:dyDescent="0.4">
      <c r="C1626" t="str">
        <f t="shared" si="116"/>
        <v/>
      </c>
      <c r="T1626" s="9">
        <f t="shared" si="117"/>
        <v>0</v>
      </c>
      <c r="Z1626" s="9">
        <f t="shared" si="118"/>
        <v>0</v>
      </c>
      <c r="AD1626" s="9">
        <f t="shared" si="119"/>
        <v>0</v>
      </c>
    </row>
    <row r="1627" spans="3:30" x14ac:dyDescent="0.4">
      <c r="C1627" t="str">
        <f t="shared" si="116"/>
        <v/>
      </c>
      <c r="T1627" s="9">
        <f t="shared" si="117"/>
        <v>0</v>
      </c>
      <c r="Z1627" s="9">
        <f t="shared" si="118"/>
        <v>0</v>
      </c>
      <c r="AD1627" s="9">
        <f t="shared" si="119"/>
        <v>0</v>
      </c>
    </row>
    <row r="1628" spans="3:30" x14ac:dyDescent="0.4">
      <c r="C1628" t="str">
        <f t="shared" si="116"/>
        <v/>
      </c>
      <c r="T1628" s="9">
        <f t="shared" si="117"/>
        <v>0</v>
      </c>
      <c r="Z1628" s="9">
        <f t="shared" si="118"/>
        <v>0</v>
      </c>
      <c r="AD1628" s="9">
        <f t="shared" si="119"/>
        <v>0</v>
      </c>
    </row>
    <row r="1629" spans="3:30" x14ac:dyDescent="0.4">
      <c r="C1629" t="str">
        <f t="shared" si="116"/>
        <v/>
      </c>
      <c r="T1629" s="9">
        <f t="shared" si="117"/>
        <v>0</v>
      </c>
      <c r="Z1629" s="9">
        <f t="shared" si="118"/>
        <v>0</v>
      </c>
      <c r="AD1629" s="9">
        <f t="shared" si="119"/>
        <v>0</v>
      </c>
    </row>
    <row r="1630" spans="3:30" x14ac:dyDescent="0.4">
      <c r="C1630" t="str">
        <f t="shared" si="116"/>
        <v/>
      </c>
      <c r="T1630" s="9">
        <f t="shared" si="117"/>
        <v>0</v>
      </c>
      <c r="Z1630" s="9">
        <f t="shared" si="118"/>
        <v>0</v>
      </c>
      <c r="AD1630" s="9">
        <f t="shared" si="119"/>
        <v>0</v>
      </c>
    </row>
    <row r="1631" spans="3:30" x14ac:dyDescent="0.4">
      <c r="C1631" t="str">
        <f t="shared" si="116"/>
        <v/>
      </c>
      <c r="T1631" s="9">
        <f t="shared" si="117"/>
        <v>0</v>
      </c>
      <c r="Z1631" s="9">
        <f t="shared" si="118"/>
        <v>0</v>
      </c>
      <c r="AD1631" s="9">
        <f t="shared" si="119"/>
        <v>0</v>
      </c>
    </row>
    <row r="1632" spans="3:30" x14ac:dyDescent="0.4">
      <c r="C1632" t="str">
        <f t="shared" si="116"/>
        <v/>
      </c>
      <c r="T1632" s="9">
        <f t="shared" si="117"/>
        <v>0</v>
      </c>
      <c r="Z1632" s="9">
        <f t="shared" si="118"/>
        <v>0</v>
      </c>
      <c r="AD1632" s="9">
        <f t="shared" si="119"/>
        <v>0</v>
      </c>
    </row>
    <row r="1633" spans="3:30" x14ac:dyDescent="0.4">
      <c r="C1633" t="str">
        <f t="shared" si="116"/>
        <v/>
      </c>
      <c r="T1633" s="9">
        <f t="shared" si="117"/>
        <v>0</v>
      </c>
      <c r="Z1633" s="9">
        <f t="shared" si="118"/>
        <v>0</v>
      </c>
      <c r="AD1633" s="9">
        <f t="shared" si="119"/>
        <v>0</v>
      </c>
    </row>
    <row r="1634" spans="3:30" x14ac:dyDescent="0.4">
      <c r="C1634" t="str">
        <f t="shared" si="116"/>
        <v/>
      </c>
      <c r="T1634" s="9">
        <f t="shared" si="117"/>
        <v>0</v>
      </c>
      <c r="Z1634" s="9">
        <f t="shared" si="118"/>
        <v>0</v>
      </c>
      <c r="AD1634" s="9">
        <f t="shared" si="119"/>
        <v>0</v>
      </c>
    </row>
    <row r="1635" spans="3:30" x14ac:dyDescent="0.4">
      <c r="C1635" t="str">
        <f t="shared" si="116"/>
        <v/>
      </c>
      <c r="T1635" s="9">
        <f t="shared" si="117"/>
        <v>0</v>
      </c>
      <c r="Z1635" s="9">
        <f t="shared" si="118"/>
        <v>0</v>
      </c>
      <c r="AD1635" s="9">
        <f t="shared" si="119"/>
        <v>0</v>
      </c>
    </row>
    <row r="1636" spans="3:30" x14ac:dyDescent="0.4">
      <c r="C1636" t="str">
        <f t="shared" si="116"/>
        <v/>
      </c>
      <c r="T1636" s="9">
        <f t="shared" si="117"/>
        <v>0</v>
      </c>
      <c r="Z1636" s="9">
        <f t="shared" si="118"/>
        <v>0</v>
      </c>
      <c r="AD1636" s="9">
        <f t="shared" si="119"/>
        <v>0</v>
      </c>
    </row>
    <row r="1637" spans="3:30" x14ac:dyDescent="0.4">
      <c r="C1637" t="str">
        <f t="shared" si="116"/>
        <v/>
      </c>
      <c r="T1637" s="9">
        <f t="shared" si="117"/>
        <v>0</v>
      </c>
      <c r="Z1637" s="9">
        <f t="shared" si="118"/>
        <v>0</v>
      </c>
      <c r="AD1637" s="9">
        <f t="shared" si="119"/>
        <v>0</v>
      </c>
    </row>
    <row r="1638" spans="3:30" x14ac:dyDescent="0.4">
      <c r="C1638" t="str">
        <f t="shared" si="116"/>
        <v/>
      </c>
      <c r="T1638" s="9">
        <f t="shared" si="117"/>
        <v>0</v>
      </c>
      <c r="Z1638" s="9">
        <f t="shared" si="118"/>
        <v>0</v>
      </c>
      <c r="AD1638" s="9">
        <f t="shared" si="119"/>
        <v>0</v>
      </c>
    </row>
    <row r="1639" spans="3:30" x14ac:dyDescent="0.4">
      <c r="C1639" t="str">
        <f t="shared" si="116"/>
        <v/>
      </c>
      <c r="T1639" s="9">
        <f t="shared" si="117"/>
        <v>0</v>
      </c>
      <c r="Z1639" s="9">
        <f t="shared" si="118"/>
        <v>0</v>
      </c>
      <c r="AD1639" s="9">
        <f t="shared" si="119"/>
        <v>0</v>
      </c>
    </row>
    <row r="1640" spans="3:30" x14ac:dyDescent="0.4">
      <c r="C1640" t="str">
        <f t="shared" si="116"/>
        <v/>
      </c>
      <c r="T1640" s="9">
        <f t="shared" si="117"/>
        <v>0</v>
      </c>
      <c r="Z1640" s="9">
        <f t="shared" si="118"/>
        <v>0</v>
      </c>
      <c r="AD1640" s="9">
        <f t="shared" si="119"/>
        <v>0</v>
      </c>
    </row>
    <row r="1641" spans="3:30" x14ac:dyDescent="0.4">
      <c r="C1641" t="str">
        <f t="shared" si="116"/>
        <v/>
      </c>
      <c r="T1641" s="9">
        <f t="shared" si="117"/>
        <v>0</v>
      </c>
      <c r="Z1641" s="9">
        <f t="shared" si="118"/>
        <v>0</v>
      </c>
      <c r="AD1641" s="9">
        <f t="shared" si="119"/>
        <v>0</v>
      </c>
    </row>
    <row r="1642" spans="3:30" x14ac:dyDescent="0.4">
      <c r="C1642" t="str">
        <f t="shared" si="116"/>
        <v/>
      </c>
      <c r="T1642" s="9">
        <f t="shared" si="117"/>
        <v>0</v>
      </c>
      <c r="Z1642" s="9">
        <f t="shared" si="118"/>
        <v>0</v>
      </c>
      <c r="AD1642" s="9">
        <f t="shared" si="119"/>
        <v>0</v>
      </c>
    </row>
    <row r="1643" spans="3:30" x14ac:dyDescent="0.4">
      <c r="C1643" t="str">
        <f t="shared" si="116"/>
        <v/>
      </c>
      <c r="T1643" s="9">
        <f t="shared" si="117"/>
        <v>0</v>
      </c>
      <c r="Z1643" s="9">
        <f t="shared" si="118"/>
        <v>0</v>
      </c>
      <c r="AD1643" s="9">
        <f t="shared" si="119"/>
        <v>0</v>
      </c>
    </row>
    <row r="1644" spans="3:30" x14ac:dyDescent="0.4">
      <c r="C1644" t="str">
        <f t="shared" si="116"/>
        <v/>
      </c>
      <c r="T1644" s="9">
        <f t="shared" si="117"/>
        <v>0</v>
      </c>
      <c r="Z1644" s="9">
        <f t="shared" si="118"/>
        <v>0</v>
      </c>
      <c r="AD1644" s="9">
        <f t="shared" si="119"/>
        <v>0</v>
      </c>
    </row>
    <row r="1645" spans="3:30" x14ac:dyDescent="0.4">
      <c r="C1645" t="str">
        <f t="shared" si="116"/>
        <v/>
      </c>
      <c r="T1645" s="9">
        <f t="shared" si="117"/>
        <v>0</v>
      </c>
      <c r="Z1645" s="9">
        <f t="shared" si="118"/>
        <v>0</v>
      </c>
      <c r="AD1645" s="9">
        <f t="shared" si="119"/>
        <v>0</v>
      </c>
    </row>
    <row r="1646" spans="3:30" x14ac:dyDescent="0.4">
      <c r="C1646" t="str">
        <f t="shared" si="116"/>
        <v/>
      </c>
      <c r="T1646" s="9">
        <f t="shared" si="117"/>
        <v>0</v>
      </c>
      <c r="Z1646" s="9">
        <f t="shared" si="118"/>
        <v>0</v>
      </c>
      <c r="AD1646" s="9">
        <f t="shared" si="119"/>
        <v>0</v>
      </c>
    </row>
    <row r="1647" spans="3:30" x14ac:dyDescent="0.4">
      <c r="C1647" t="str">
        <f t="shared" si="116"/>
        <v/>
      </c>
      <c r="T1647" s="9">
        <f t="shared" si="117"/>
        <v>0</v>
      </c>
      <c r="Z1647" s="9">
        <f t="shared" si="118"/>
        <v>0</v>
      </c>
      <c r="AD1647" s="9">
        <f t="shared" si="119"/>
        <v>0</v>
      </c>
    </row>
    <row r="1648" spans="3:30" x14ac:dyDescent="0.4">
      <c r="C1648" t="str">
        <f t="shared" si="116"/>
        <v/>
      </c>
      <c r="T1648" s="9">
        <f t="shared" si="117"/>
        <v>0</v>
      </c>
      <c r="Z1648" s="9">
        <f t="shared" si="118"/>
        <v>0</v>
      </c>
      <c r="AD1648" s="9">
        <f t="shared" si="119"/>
        <v>0</v>
      </c>
    </row>
    <row r="1649" spans="3:30" x14ac:dyDescent="0.4">
      <c r="C1649" t="str">
        <f t="shared" si="116"/>
        <v/>
      </c>
      <c r="T1649" s="9">
        <f t="shared" si="117"/>
        <v>0</v>
      </c>
      <c r="Z1649" s="9">
        <f t="shared" si="118"/>
        <v>0</v>
      </c>
      <c r="AD1649" s="9">
        <f t="shared" si="119"/>
        <v>0</v>
      </c>
    </row>
    <row r="1650" spans="3:30" x14ac:dyDescent="0.4">
      <c r="C1650" t="str">
        <f t="shared" si="116"/>
        <v/>
      </c>
      <c r="T1650" s="9">
        <f t="shared" si="117"/>
        <v>0</v>
      </c>
      <c r="Z1650" s="9">
        <f t="shared" si="118"/>
        <v>0</v>
      </c>
      <c r="AD1650" s="9">
        <f t="shared" si="119"/>
        <v>0</v>
      </c>
    </row>
    <row r="1651" spans="3:30" x14ac:dyDescent="0.4">
      <c r="C1651" t="str">
        <f t="shared" si="116"/>
        <v/>
      </c>
      <c r="T1651" s="9">
        <f t="shared" si="117"/>
        <v>0</v>
      </c>
      <c r="Z1651" s="9">
        <f t="shared" si="118"/>
        <v>0</v>
      </c>
      <c r="AD1651" s="9">
        <f t="shared" si="119"/>
        <v>0</v>
      </c>
    </row>
    <row r="1652" spans="3:30" x14ac:dyDescent="0.4">
      <c r="C1652" t="str">
        <f t="shared" si="116"/>
        <v/>
      </c>
      <c r="T1652" s="9">
        <f t="shared" si="117"/>
        <v>0</v>
      </c>
      <c r="Z1652" s="9">
        <f t="shared" si="118"/>
        <v>0</v>
      </c>
      <c r="AD1652" s="9">
        <f t="shared" si="119"/>
        <v>0</v>
      </c>
    </row>
    <row r="1653" spans="3:30" x14ac:dyDescent="0.4">
      <c r="C1653" t="str">
        <f t="shared" si="116"/>
        <v/>
      </c>
      <c r="T1653" s="9">
        <f t="shared" si="117"/>
        <v>0</v>
      </c>
      <c r="Z1653" s="9">
        <f t="shared" si="118"/>
        <v>0</v>
      </c>
      <c r="AD1653" s="9">
        <f t="shared" si="119"/>
        <v>0</v>
      </c>
    </row>
    <row r="1654" spans="3:30" x14ac:dyDescent="0.4">
      <c r="C1654" t="str">
        <f t="shared" si="116"/>
        <v/>
      </c>
      <c r="T1654" s="9">
        <f t="shared" si="117"/>
        <v>0</v>
      </c>
      <c r="Z1654" s="9">
        <f t="shared" si="118"/>
        <v>0</v>
      </c>
      <c r="AD1654" s="9">
        <f t="shared" si="119"/>
        <v>0</v>
      </c>
    </row>
    <row r="1655" spans="3:30" x14ac:dyDescent="0.4">
      <c r="C1655" t="str">
        <f t="shared" si="116"/>
        <v/>
      </c>
      <c r="T1655" s="9">
        <f t="shared" si="117"/>
        <v>0</v>
      </c>
      <c r="Z1655" s="9">
        <f t="shared" si="118"/>
        <v>0</v>
      </c>
      <c r="AD1655" s="9">
        <f t="shared" si="119"/>
        <v>0</v>
      </c>
    </row>
    <row r="1656" spans="3:30" x14ac:dyDescent="0.4">
      <c r="C1656" t="str">
        <f t="shared" si="116"/>
        <v/>
      </c>
      <c r="T1656" s="9">
        <f t="shared" si="117"/>
        <v>0</v>
      </c>
      <c r="Z1656" s="9">
        <f t="shared" si="118"/>
        <v>0</v>
      </c>
      <c r="AD1656" s="9">
        <f t="shared" si="119"/>
        <v>0</v>
      </c>
    </row>
    <row r="1657" spans="3:30" x14ac:dyDescent="0.4">
      <c r="C1657" t="str">
        <f t="shared" si="116"/>
        <v/>
      </c>
      <c r="T1657" s="9">
        <f t="shared" si="117"/>
        <v>0</v>
      </c>
      <c r="Z1657" s="9">
        <f t="shared" si="118"/>
        <v>0</v>
      </c>
      <c r="AD1657" s="9">
        <f t="shared" si="119"/>
        <v>0</v>
      </c>
    </row>
    <row r="1658" spans="3:30" x14ac:dyDescent="0.4">
      <c r="C1658" t="str">
        <f t="shared" si="116"/>
        <v/>
      </c>
      <c r="T1658" s="9">
        <f t="shared" si="117"/>
        <v>0</v>
      </c>
      <c r="Z1658" s="9">
        <f t="shared" si="118"/>
        <v>0</v>
      </c>
      <c r="AD1658" s="9">
        <f t="shared" si="119"/>
        <v>0</v>
      </c>
    </row>
    <row r="1659" spans="3:30" x14ac:dyDescent="0.4">
      <c r="C1659" t="str">
        <f t="shared" si="116"/>
        <v/>
      </c>
      <c r="T1659" s="9">
        <f t="shared" si="117"/>
        <v>0</v>
      </c>
      <c r="Z1659" s="9">
        <f t="shared" si="118"/>
        <v>0</v>
      </c>
      <c r="AD1659" s="9">
        <f t="shared" si="119"/>
        <v>0</v>
      </c>
    </row>
    <row r="1660" spans="3:30" x14ac:dyDescent="0.4">
      <c r="C1660" t="str">
        <f t="shared" si="116"/>
        <v/>
      </c>
      <c r="T1660" s="9">
        <f t="shared" si="117"/>
        <v>0</v>
      </c>
      <c r="Z1660" s="9">
        <f t="shared" si="118"/>
        <v>0</v>
      </c>
      <c r="AD1660" s="9">
        <f t="shared" si="119"/>
        <v>0</v>
      </c>
    </row>
    <row r="1661" spans="3:30" x14ac:dyDescent="0.4">
      <c r="C1661" t="str">
        <f t="shared" si="116"/>
        <v/>
      </c>
      <c r="T1661" s="9">
        <f t="shared" si="117"/>
        <v>0</v>
      </c>
      <c r="Z1661" s="9">
        <f t="shared" si="118"/>
        <v>0</v>
      </c>
      <c r="AD1661" s="9">
        <f t="shared" si="119"/>
        <v>0</v>
      </c>
    </row>
    <row r="1662" spans="3:30" x14ac:dyDescent="0.4">
      <c r="C1662" t="str">
        <f t="shared" si="116"/>
        <v/>
      </c>
      <c r="T1662" s="9">
        <f t="shared" si="117"/>
        <v>0</v>
      </c>
      <c r="Z1662" s="9">
        <f t="shared" si="118"/>
        <v>0</v>
      </c>
      <c r="AD1662" s="9">
        <f t="shared" si="119"/>
        <v>0</v>
      </c>
    </row>
    <row r="1663" spans="3:30" x14ac:dyDescent="0.4">
      <c r="C1663" t="str">
        <f t="shared" si="116"/>
        <v/>
      </c>
      <c r="T1663" s="9">
        <f t="shared" si="117"/>
        <v>0</v>
      </c>
      <c r="Z1663" s="9">
        <f t="shared" si="118"/>
        <v>0</v>
      </c>
      <c r="AD1663" s="9">
        <f t="shared" si="119"/>
        <v>0</v>
      </c>
    </row>
    <row r="1664" spans="3:30" x14ac:dyDescent="0.4">
      <c r="C1664" t="str">
        <f t="shared" si="116"/>
        <v/>
      </c>
      <c r="T1664" s="9">
        <f t="shared" si="117"/>
        <v>0</v>
      </c>
      <c r="Z1664" s="9">
        <f t="shared" si="118"/>
        <v>0</v>
      </c>
      <c r="AD1664" s="9">
        <f t="shared" si="119"/>
        <v>0</v>
      </c>
    </row>
    <row r="1665" spans="3:30" x14ac:dyDescent="0.4">
      <c r="C1665" t="str">
        <f t="shared" si="116"/>
        <v/>
      </c>
      <c r="T1665" s="9">
        <f t="shared" si="117"/>
        <v>0</v>
      </c>
      <c r="Z1665" s="9">
        <f t="shared" si="118"/>
        <v>0</v>
      </c>
      <c r="AD1665" s="9">
        <f t="shared" si="119"/>
        <v>0</v>
      </c>
    </row>
    <row r="1666" spans="3:30" x14ac:dyDescent="0.4">
      <c r="C1666" t="str">
        <f t="shared" si="116"/>
        <v/>
      </c>
      <c r="T1666" s="9">
        <f t="shared" si="117"/>
        <v>0</v>
      </c>
      <c r="Z1666" s="9">
        <f t="shared" si="118"/>
        <v>0</v>
      </c>
      <c r="AD1666" s="9">
        <f t="shared" si="119"/>
        <v>0</v>
      </c>
    </row>
    <row r="1667" spans="3:30" x14ac:dyDescent="0.4">
      <c r="C1667" t="str">
        <f t="shared" ref="C1667:C1730" si="120">IF(A1667="","",$J$1&amp;"\"&amp;A1667)</f>
        <v/>
      </c>
      <c r="T1667" s="9">
        <f t="shared" si="117"/>
        <v>0</v>
      </c>
      <c r="Z1667" s="9">
        <f t="shared" si="118"/>
        <v>0</v>
      </c>
      <c r="AD1667" s="9">
        <f t="shared" si="119"/>
        <v>0</v>
      </c>
    </row>
    <row r="1668" spans="3:30" x14ac:dyDescent="0.4">
      <c r="C1668" t="str">
        <f t="shared" si="120"/>
        <v/>
      </c>
      <c r="T1668" s="9">
        <f t="shared" si="117"/>
        <v>0</v>
      </c>
      <c r="Z1668" s="9">
        <f t="shared" si="118"/>
        <v>0</v>
      </c>
      <c r="AD1668" s="9">
        <f t="shared" si="119"/>
        <v>0</v>
      </c>
    </row>
    <row r="1669" spans="3:30" x14ac:dyDescent="0.4">
      <c r="C1669" t="str">
        <f t="shared" si="120"/>
        <v/>
      </c>
      <c r="T1669" s="9">
        <f t="shared" si="117"/>
        <v>0</v>
      </c>
      <c r="Z1669" s="9">
        <f t="shared" si="118"/>
        <v>0</v>
      </c>
      <c r="AD1669" s="9">
        <f t="shared" si="119"/>
        <v>0</v>
      </c>
    </row>
    <row r="1670" spans="3:30" x14ac:dyDescent="0.4">
      <c r="C1670" t="str">
        <f t="shared" si="120"/>
        <v/>
      </c>
      <c r="T1670" s="9">
        <f t="shared" si="117"/>
        <v>0</v>
      </c>
      <c r="Z1670" s="9">
        <f t="shared" si="118"/>
        <v>0</v>
      </c>
      <c r="AD1670" s="9">
        <f t="shared" si="119"/>
        <v>0</v>
      </c>
    </row>
    <row r="1671" spans="3:30" x14ac:dyDescent="0.4">
      <c r="C1671" t="str">
        <f t="shared" si="120"/>
        <v/>
      </c>
      <c r="T1671" s="9">
        <f t="shared" si="117"/>
        <v>0</v>
      </c>
      <c r="Z1671" s="9">
        <f t="shared" si="118"/>
        <v>0</v>
      </c>
      <c r="AD1671" s="9">
        <f t="shared" si="119"/>
        <v>0</v>
      </c>
    </row>
    <row r="1672" spans="3:30" x14ac:dyDescent="0.4">
      <c r="C1672" t="str">
        <f t="shared" si="120"/>
        <v/>
      </c>
      <c r="T1672" s="9">
        <f t="shared" ref="T1672:T1735" si="121">(COUNTIFS(TH_TK,N1672,TH_DuNo,O1672,TH_DuNoNT,P1672,TH_DuCo,Q1672,TH_DuCoNT,R1672,TH_SoLuong,S1672)&gt;0)*1</f>
        <v>0</v>
      </c>
      <c r="Z1672" s="9">
        <f t="shared" ref="Z1672:Z1735" si="122">(COUNTIFS(NV,U1672,TK,V1672,TongNo,W1672,TongCo,X1672,SoLuong,Y1672)&gt;0)*1</f>
        <v>0</v>
      </c>
      <c r="AD1672" s="9">
        <f t="shared" ref="AD1672:AD1735" si="123">COUNTIFS(ReportType,AA1672,ItemCode,AB1672,Amount,AC1672)</f>
        <v>0</v>
      </c>
    </row>
    <row r="1673" spans="3:30" x14ac:dyDescent="0.4">
      <c r="C1673" t="str">
        <f t="shared" si="120"/>
        <v/>
      </c>
      <c r="T1673" s="9">
        <f t="shared" si="121"/>
        <v>0</v>
      </c>
      <c r="Z1673" s="9">
        <f t="shared" si="122"/>
        <v>0</v>
      </c>
      <c r="AD1673" s="9">
        <f t="shared" si="123"/>
        <v>0</v>
      </c>
    </row>
    <row r="1674" spans="3:30" x14ac:dyDescent="0.4">
      <c r="C1674" t="str">
        <f t="shared" si="120"/>
        <v/>
      </c>
      <c r="T1674" s="9">
        <f t="shared" si="121"/>
        <v>0</v>
      </c>
      <c r="Z1674" s="9">
        <f t="shared" si="122"/>
        <v>0</v>
      </c>
      <c r="AD1674" s="9">
        <f t="shared" si="123"/>
        <v>0</v>
      </c>
    </row>
    <row r="1675" spans="3:30" x14ac:dyDescent="0.4">
      <c r="C1675" t="str">
        <f t="shared" si="120"/>
        <v/>
      </c>
      <c r="T1675" s="9">
        <f t="shared" si="121"/>
        <v>0</v>
      </c>
      <c r="Z1675" s="9">
        <f t="shared" si="122"/>
        <v>0</v>
      </c>
      <c r="AD1675" s="9">
        <f t="shared" si="123"/>
        <v>0</v>
      </c>
    </row>
    <row r="1676" spans="3:30" x14ac:dyDescent="0.4">
      <c r="C1676" t="str">
        <f t="shared" si="120"/>
        <v/>
      </c>
      <c r="T1676" s="9">
        <f t="shared" si="121"/>
        <v>0</v>
      </c>
      <c r="Z1676" s="9">
        <f t="shared" si="122"/>
        <v>0</v>
      </c>
      <c r="AD1676" s="9">
        <f t="shared" si="123"/>
        <v>0</v>
      </c>
    </row>
    <row r="1677" spans="3:30" x14ac:dyDescent="0.4">
      <c r="C1677" t="str">
        <f t="shared" si="120"/>
        <v/>
      </c>
      <c r="T1677" s="9">
        <f t="shared" si="121"/>
        <v>0</v>
      </c>
      <c r="Z1677" s="9">
        <f t="shared" si="122"/>
        <v>0</v>
      </c>
      <c r="AD1677" s="9">
        <f t="shared" si="123"/>
        <v>0</v>
      </c>
    </row>
    <row r="1678" spans="3:30" x14ac:dyDescent="0.4">
      <c r="C1678" t="str">
        <f t="shared" si="120"/>
        <v/>
      </c>
      <c r="T1678" s="9">
        <f t="shared" si="121"/>
        <v>0</v>
      </c>
      <c r="Z1678" s="9">
        <f t="shared" si="122"/>
        <v>0</v>
      </c>
      <c r="AD1678" s="9">
        <f t="shared" si="123"/>
        <v>0</v>
      </c>
    </row>
    <row r="1679" spans="3:30" x14ac:dyDescent="0.4">
      <c r="C1679" t="str">
        <f t="shared" si="120"/>
        <v/>
      </c>
      <c r="T1679" s="9">
        <f t="shared" si="121"/>
        <v>0</v>
      </c>
      <c r="Z1679" s="9">
        <f t="shared" si="122"/>
        <v>0</v>
      </c>
      <c r="AD1679" s="9">
        <f t="shared" si="123"/>
        <v>0</v>
      </c>
    </row>
    <row r="1680" spans="3:30" x14ac:dyDescent="0.4">
      <c r="C1680" t="str">
        <f t="shared" si="120"/>
        <v/>
      </c>
      <c r="T1680" s="9">
        <f t="shared" si="121"/>
        <v>0</v>
      </c>
      <c r="Z1680" s="9">
        <f t="shared" si="122"/>
        <v>0</v>
      </c>
      <c r="AD1680" s="9">
        <f t="shared" si="123"/>
        <v>0</v>
      </c>
    </row>
    <row r="1681" spans="3:30" x14ac:dyDescent="0.4">
      <c r="C1681" t="str">
        <f t="shared" si="120"/>
        <v/>
      </c>
      <c r="T1681" s="9">
        <f t="shared" si="121"/>
        <v>0</v>
      </c>
      <c r="Z1681" s="9">
        <f t="shared" si="122"/>
        <v>0</v>
      </c>
      <c r="AD1681" s="9">
        <f t="shared" si="123"/>
        <v>0</v>
      </c>
    </row>
    <row r="1682" spans="3:30" x14ac:dyDescent="0.4">
      <c r="C1682" t="str">
        <f t="shared" si="120"/>
        <v/>
      </c>
      <c r="T1682" s="9">
        <f t="shared" si="121"/>
        <v>0</v>
      </c>
      <c r="Z1682" s="9">
        <f t="shared" si="122"/>
        <v>0</v>
      </c>
      <c r="AD1682" s="9">
        <f t="shared" si="123"/>
        <v>0</v>
      </c>
    </row>
    <row r="1683" spans="3:30" x14ac:dyDescent="0.4">
      <c r="C1683" t="str">
        <f t="shared" si="120"/>
        <v/>
      </c>
      <c r="T1683" s="9">
        <f t="shared" si="121"/>
        <v>0</v>
      </c>
      <c r="Z1683" s="9">
        <f t="shared" si="122"/>
        <v>0</v>
      </c>
      <c r="AD1683" s="9">
        <f t="shared" si="123"/>
        <v>0</v>
      </c>
    </row>
    <row r="1684" spans="3:30" x14ac:dyDescent="0.4">
      <c r="C1684" t="str">
        <f t="shared" si="120"/>
        <v/>
      </c>
      <c r="T1684" s="9">
        <f t="shared" si="121"/>
        <v>0</v>
      </c>
      <c r="Z1684" s="9">
        <f t="shared" si="122"/>
        <v>0</v>
      </c>
      <c r="AD1684" s="9">
        <f t="shared" si="123"/>
        <v>0</v>
      </c>
    </row>
    <row r="1685" spans="3:30" x14ac:dyDescent="0.4">
      <c r="C1685" t="str">
        <f t="shared" si="120"/>
        <v/>
      </c>
      <c r="T1685" s="9">
        <f t="shared" si="121"/>
        <v>0</v>
      </c>
      <c r="Z1685" s="9">
        <f t="shared" si="122"/>
        <v>0</v>
      </c>
      <c r="AD1685" s="9">
        <f t="shared" si="123"/>
        <v>0</v>
      </c>
    </row>
    <row r="1686" spans="3:30" x14ac:dyDescent="0.4">
      <c r="C1686" t="str">
        <f t="shared" si="120"/>
        <v/>
      </c>
      <c r="T1686" s="9">
        <f t="shared" si="121"/>
        <v>0</v>
      </c>
      <c r="Z1686" s="9">
        <f t="shared" si="122"/>
        <v>0</v>
      </c>
      <c r="AD1686" s="9">
        <f t="shared" si="123"/>
        <v>0</v>
      </c>
    </row>
    <row r="1687" spans="3:30" x14ac:dyDescent="0.4">
      <c r="C1687" t="str">
        <f t="shared" si="120"/>
        <v/>
      </c>
      <c r="T1687" s="9">
        <f t="shared" si="121"/>
        <v>0</v>
      </c>
      <c r="Z1687" s="9">
        <f t="shared" si="122"/>
        <v>0</v>
      </c>
      <c r="AD1687" s="9">
        <f t="shared" si="123"/>
        <v>0</v>
      </c>
    </row>
    <row r="1688" spans="3:30" x14ac:dyDescent="0.4">
      <c r="C1688" t="str">
        <f t="shared" si="120"/>
        <v/>
      </c>
      <c r="T1688" s="9">
        <f t="shared" si="121"/>
        <v>0</v>
      </c>
      <c r="Z1688" s="9">
        <f t="shared" si="122"/>
        <v>0</v>
      </c>
      <c r="AD1688" s="9">
        <f t="shared" si="123"/>
        <v>0</v>
      </c>
    </row>
    <row r="1689" spans="3:30" x14ac:dyDescent="0.4">
      <c r="C1689" t="str">
        <f t="shared" si="120"/>
        <v/>
      </c>
      <c r="T1689" s="9">
        <f t="shared" si="121"/>
        <v>0</v>
      </c>
      <c r="Z1689" s="9">
        <f t="shared" si="122"/>
        <v>0</v>
      </c>
      <c r="AD1689" s="9">
        <f t="shared" si="123"/>
        <v>0</v>
      </c>
    </row>
    <row r="1690" spans="3:30" x14ac:dyDescent="0.4">
      <c r="C1690" t="str">
        <f t="shared" si="120"/>
        <v/>
      </c>
      <c r="T1690" s="9">
        <f t="shared" si="121"/>
        <v>0</v>
      </c>
      <c r="Z1690" s="9">
        <f t="shared" si="122"/>
        <v>0</v>
      </c>
      <c r="AD1690" s="9">
        <f t="shared" si="123"/>
        <v>0</v>
      </c>
    </row>
    <row r="1691" spans="3:30" x14ac:dyDescent="0.4">
      <c r="C1691" t="str">
        <f t="shared" si="120"/>
        <v/>
      </c>
      <c r="T1691" s="9">
        <f t="shared" si="121"/>
        <v>0</v>
      </c>
      <c r="Z1691" s="9">
        <f t="shared" si="122"/>
        <v>0</v>
      </c>
      <c r="AD1691" s="9">
        <f t="shared" si="123"/>
        <v>0</v>
      </c>
    </row>
    <row r="1692" spans="3:30" x14ac:dyDescent="0.4">
      <c r="C1692" t="str">
        <f t="shared" si="120"/>
        <v/>
      </c>
      <c r="T1692" s="9">
        <f t="shared" si="121"/>
        <v>0</v>
      </c>
      <c r="Z1692" s="9">
        <f t="shared" si="122"/>
        <v>0</v>
      </c>
      <c r="AD1692" s="9">
        <f t="shared" si="123"/>
        <v>0</v>
      </c>
    </row>
    <row r="1693" spans="3:30" x14ac:dyDescent="0.4">
      <c r="C1693" t="str">
        <f t="shared" si="120"/>
        <v/>
      </c>
      <c r="T1693" s="9">
        <f t="shared" si="121"/>
        <v>0</v>
      </c>
      <c r="Z1693" s="9">
        <f t="shared" si="122"/>
        <v>0</v>
      </c>
      <c r="AD1693" s="9">
        <f t="shared" si="123"/>
        <v>0</v>
      </c>
    </row>
    <row r="1694" spans="3:30" x14ac:dyDescent="0.4">
      <c r="C1694" t="str">
        <f t="shared" si="120"/>
        <v/>
      </c>
      <c r="T1694" s="9">
        <f t="shared" si="121"/>
        <v>0</v>
      </c>
      <c r="Z1694" s="9">
        <f t="shared" si="122"/>
        <v>0</v>
      </c>
      <c r="AD1694" s="9">
        <f t="shared" si="123"/>
        <v>0</v>
      </c>
    </row>
    <row r="1695" spans="3:30" x14ac:dyDescent="0.4">
      <c r="C1695" t="str">
        <f t="shared" si="120"/>
        <v/>
      </c>
      <c r="T1695" s="9">
        <f t="shared" si="121"/>
        <v>0</v>
      </c>
      <c r="Z1695" s="9">
        <f t="shared" si="122"/>
        <v>0</v>
      </c>
      <c r="AD1695" s="9">
        <f t="shared" si="123"/>
        <v>0</v>
      </c>
    </row>
    <row r="1696" spans="3:30" x14ac:dyDescent="0.4">
      <c r="C1696" t="str">
        <f t="shared" si="120"/>
        <v/>
      </c>
      <c r="T1696" s="9">
        <f t="shared" si="121"/>
        <v>0</v>
      </c>
      <c r="Z1696" s="9">
        <f t="shared" si="122"/>
        <v>0</v>
      </c>
      <c r="AD1696" s="9">
        <f t="shared" si="123"/>
        <v>0</v>
      </c>
    </row>
    <row r="1697" spans="3:30" x14ac:dyDescent="0.4">
      <c r="C1697" t="str">
        <f t="shared" si="120"/>
        <v/>
      </c>
      <c r="T1697" s="9">
        <f t="shared" si="121"/>
        <v>0</v>
      </c>
      <c r="Z1697" s="9">
        <f t="shared" si="122"/>
        <v>0</v>
      </c>
      <c r="AD1697" s="9">
        <f t="shared" si="123"/>
        <v>0</v>
      </c>
    </row>
    <row r="1698" spans="3:30" x14ac:dyDescent="0.4">
      <c r="C1698" t="str">
        <f t="shared" si="120"/>
        <v/>
      </c>
      <c r="T1698" s="9">
        <f t="shared" si="121"/>
        <v>0</v>
      </c>
      <c r="Z1698" s="9">
        <f t="shared" si="122"/>
        <v>0</v>
      </c>
      <c r="AD1698" s="9">
        <f t="shared" si="123"/>
        <v>0</v>
      </c>
    </row>
    <row r="1699" spans="3:30" x14ac:dyDescent="0.4">
      <c r="C1699" t="str">
        <f t="shared" si="120"/>
        <v/>
      </c>
      <c r="T1699" s="9">
        <f t="shared" si="121"/>
        <v>0</v>
      </c>
      <c r="Z1699" s="9">
        <f t="shared" si="122"/>
        <v>0</v>
      </c>
      <c r="AD1699" s="9">
        <f t="shared" si="123"/>
        <v>0</v>
      </c>
    </row>
    <row r="1700" spans="3:30" x14ac:dyDescent="0.4">
      <c r="C1700" t="str">
        <f t="shared" si="120"/>
        <v/>
      </c>
      <c r="T1700" s="9">
        <f t="shared" si="121"/>
        <v>0</v>
      </c>
      <c r="Z1700" s="9">
        <f t="shared" si="122"/>
        <v>0</v>
      </c>
      <c r="AD1700" s="9">
        <f t="shared" si="123"/>
        <v>0</v>
      </c>
    </row>
    <row r="1701" spans="3:30" x14ac:dyDescent="0.4">
      <c r="C1701" t="str">
        <f t="shared" si="120"/>
        <v/>
      </c>
      <c r="T1701" s="9">
        <f t="shared" si="121"/>
        <v>0</v>
      </c>
      <c r="Z1701" s="9">
        <f t="shared" si="122"/>
        <v>0</v>
      </c>
      <c r="AD1701" s="9">
        <f t="shared" si="123"/>
        <v>0</v>
      </c>
    </row>
    <row r="1702" spans="3:30" x14ac:dyDescent="0.4">
      <c r="C1702" t="str">
        <f t="shared" si="120"/>
        <v/>
      </c>
      <c r="T1702" s="9">
        <f t="shared" si="121"/>
        <v>0</v>
      </c>
      <c r="Z1702" s="9">
        <f t="shared" si="122"/>
        <v>0</v>
      </c>
      <c r="AD1702" s="9">
        <f t="shared" si="123"/>
        <v>0</v>
      </c>
    </row>
    <row r="1703" spans="3:30" x14ac:dyDescent="0.4">
      <c r="C1703" t="str">
        <f t="shared" si="120"/>
        <v/>
      </c>
      <c r="T1703" s="9">
        <f t="shared" si="121"/>
        <v>0</v>
      </c>
      <c r="Z1703" s="9">
        <f t="shared" si="122"/>
        <v>0</v>
      </c>
      <c r="AD1703" s="9">
        <f t="shared" si="123"/>
        <v>0</v>
      </c>
    </row>
    <row r="1704" spans="3:30" x14ac:dyDescent="0.4">
      <c r="C1704" t="str">
        <f t="shared" si="120"/>
        <v/>
      </c>
      <c r="T1704" s="9">
        <f t="shared" si="121"/>
        <v>0</v>
      </c>
      <c r="Z1704" s="9">
        <f t="shared" si="122"/>
        <v>0</v>
      </c>
      <c r="AD1704" s="9">
        <f t="shared" si="123"/>
        <v>0</v>
      </c>
    </row>
    <row r="1705" spans="3:30" x14ac:dyDescent="0.4">
      <c r="C1705" t="str">
        <f t="shared" si="120"/>
        <v/>
      </c>
      <c r="T1705" s="9">
        <f t="shared" si="121"/>
        <v>0</v>
      </c>
      <c r="Z1705" s="9">
        <f t="shared" si="122"/>
        <v>0</v>
      </c>
      <c r="AD1705" s="9">
        <f t="shared" si="123"/>
        <v>0</v>
      </c>
    </row>
    <row r="1706" spans="3:30" x14ac:dyDescent="0.4">
      <c r="C1706" t="str">
        <f t="shared" si="120"/>
        <v/>
      </c>
      <c r="T1706" s="9">
        <f t="shared" si="121"/>
        <v>0</v>
      </c>
      <c r="Z1706" s="9">
        <f t="shared" si="122"/>
        <v>0</v>
      </c>
      <c r="AD1706" s="9">
        <f t="shared" si="123"/>
        <v>0</v>
      </c>
    </row>
    <row r="1707" spans="3:30" x14ac:dyDescent="0.4">
      <c r="C1707" t="str">
        <f t="shared" si="120"/>
        <v/>
      </c>
      <c r="T1707" s="9">
        <f t="shared" si="121"/>
        <v>0</v>
      </c>
      <c r="Z1707" s="9">
        <f t="shared" si="122"/>
        <v>0</v>
      </c>
      <c r="AD1707" s="9">
        <f t="shared" si="123"/>
        <v>0</v>
      </c>
    </row>
    <row r="1708" spans="3:30" x14ac:dyDescent="0.4">
      <c r="C1708" t="str">
        <f t="shared" si="120"/>
        <v/>
      </c>
      <c r="T1708" s="9">
        <f t="shared" si="121"/>
        <v>0</v>
      </c>
      <c r="Z1708" s="9">
        <f t="shared" si="122"/>
        <v>0</v>
      </c>
      <c r="AD1708" s="9">
        <f t="shared" si="123"/>
        <v>0</v>
      </c>
    </row>
    <row r="1709" spans="3:30" x14ac:dyDescent="0.4">
      <c r="C1709" t="str">
        <f t="shared" si="120"/>
        <v/>
      </c>
      <c r="T1709" s="9">
        <f t="shared" si="121"/>
        <v>0</v>
      </c>
      <c r="Z1709" s="9">
        <f t="shared" si="122"/>
        <v>0</v>
      </c>
      <c r="AD1709" s="9">
        <f t="shared" si="123"/>
        <v>0</v>
      </c>
    </row>
    <row r="1710" spans="3:30" x14ac:dyDescent="0.4">
      <c r="C1710" t="str">
        <f t="shared" si="120"/>
        <v/>
      </c>
      <c r="T1710" s="9">
        <f t="shared" si="121"/>
        <v>0</v>
      </c>
      <c r="Z1710" s="9">
        <f t="shared" si="122"/>
        <v>0</v>
      </c>
      <c r="AD1710" s="9">
        <f t="shared" si="123"/>
        <v>0</v>
      </c>
    </row>
    <row r="1711" spans="3:30" x14ac:dyDescent="0.4">
      <c r="C1711" t="str">
        <f t="shared" si="120"/>
        <v/>
      </c>
      <c r="T1711" s="9">
        <f t="shared" si="121"/>
        <v>0</v>
      </c>
      <c r="Z1711" s="9">
        <f t="shared" si="122"/>
        <v>0</v>
      </c>
      <c r="AD1711" s="9">
        <f t="shared" si="123"/>
        <v>0</v>
      </c>
    </row>
    <row r="1712" spans="3:30" x14ac:dyDescent="0.4">
      <c r="C1712" t="str">
        <f t="shared" si="120"/>
        <v/>
      </c>
      <c r="T1712" s="9">
        <f t="shared" si="121"/>
        <v>0</v>
      </c>
      <c r="Z1712" s="9">
        <f t="shared" si="122"/>
        <v>0</v>
      </c>
      <c r="AD1712" s="9">
        <f t="shared" si="123"/>
        <v>0</v>
      </c>
    </row>
    <row r="1713" spans="3:30" x14ac:dyDescent="0.4">
      <c r="C1713" t="str">
        <f t="shared" si="120"/>
        <v/>
      </c>
      <c r="T1713" s="9">
        <f t="shared" si="121"/>
        <v>0</v>
      </c>
      <c r="Z1713" s="9">
        <f t="shared" si="122"/>
        <v>0</v>
      </c>
      <c r="AD1713" s="9">
        <f t="shared" si="123"/>
        <v>0</v>
      </c>
    </row>
    <row r="1714" spans="3:30" x14ac:dyDescent="0.4">
      <c r="C1714" t="str">
        <f t="shared" si="120"/>
        <v/>
      </c>
      <c r="T1714" s="9">
        <f t="shared" si="121"/>
        <v>0</v>
      </c>
      <c r="Z1714" s="9">
        <f t="shared" si="122"/>
        <v>0</v>
      </c>
      <c r="AD1714" s="9">
        <f t="shared" si="123"/>
        <v>0</v>
      </c>
    </row>
    <row r="1715" spans="3:30" x14ac:dyDescent="0.4">
      <c r="C1715" t="str">
        <f t="shared" si="120"/>
        <v/>
      </c>
      <c r="T1715" s="9">
        <f t="shared" si="121"/>
        <v>0</v>
      </c>
      <c r="Z1715" s="9">
        <f t="shared" si="122"/>
        <v>0</v>
      </c>
      <c r="AD1715" s="9">
        <f t="shared" si="123"/>
        <v>0</v>
      </c>
    </row>
    <row r="1716" spans="3:30" x14ac:dyDescent="0.4">
      <c r="C1716" t="str">
        <f t="shared" si="120"/>
        <v/>
      </c>
      <c r="T1716" s="9">
        <f t="shared" si="121"/>
        <v>0</v>
      </c>
      <c r="Z1716" s="9">
        <f t="shared" si="122"/>
        <v>0</v>
      </c>
      <c r="AD1716" s="9">
        <f t="shared" si="123"/>
        <v>0</v>
      </c>
    </row>
    <row r="1717" spans="3:30" x14ac:dyDescent="0.4">
      <c r="C1717" t="str">
        <f t="shared" si="120"/>
        <v/>
      </c>
      <c r="T1717" s="9">
        <f t="shared" si="121"/>
        <v>0</v>
      </c>
      <c r="Z1717" s="9">
        <f t="shared" si="122"/>
        <v>0</v>
      </c>
      <c r="AD1717" s="9">
        <f t="shared" si="123"/>
        <v>0</v>
      </c>
    </row>
    <row r="1718" spans="3:30" x14ac:dyDescent="0.4">
      <c r="C1718" t="str">
        <f t="shared" si="120"/>
        <v/>
      </c>
      <c r="T1718" s="9">
        <f t="shared" si="121"/>
        <v>0</v>
      </c>
      <c r="Z1718" s="9">
        <f t="shared" si="122"/>
        <v>0</v>
      </c>
      <c r="AD1718" s="9">
        <f t="shared" si="123"/>
        <v>0</v>
      </c>
    </row>
    <row r="1719" spans="3:30" x14ac:dyDescent="0.4">
      <c r="C1719" t="str">
        <f t="shared" si="120"/>
        <v/>
      </c>
      <c r="T1719" s="9">
        <f t="shared" si="121"/>
        <v>0</v>
      </c>
      <c r="Z1719" s="9">
        <f t="shared" si="122"/>
        <v>0</v>
      </c>
      <c r="AD1719" s="9">
        <f t="shared" si="123"/>
        <v>0</v>
      </c>
    </row>
    <row r="1720" spans="3:30" x14ac:dyDescent="0.4">
      <c r="C1720" t="str">
        <f t="shared" si="120"/>
        <v/>
      </c>
      <c r="T1720" s="9">
        <f t="shared" si="121"/>
        <v>0</v>
      </c>
      <c r="Z1720" s="9">
        <f t="shared" si="122"/>
        <v>0</v>
      </c>
      <c r="AD1720" s="9">
        <f t="shared" si="123"/>
        <v>0</v>
      </c>
    </row>
    <row r="1721" spans="3:30" x14ac:dyDescent="0.4">
      <c r="C1721" t="str">
        <f t="shared" si="120"/>
        <v/>
      </c>
      <c r="T1721" s="9">
        <f t="shared" si="121"/>
        <v>0</v>
      </c>
      <c r="Z1721" s="9">
        <f t="shared" si="122"/>
        <v>0</v>
      </c>
      <c r="AD1721" s="9">
        <f t="shared" si="123"/>
        <v>0</v>
      </c>
    </row>
    <row r="1722" spans="3:30" x14ac:dyDescent="0.4">
      <c r="C1722" t="str">
        <f t="shared" si="120"/>
        <v/>
      </c>
      <c r="T1722" s="9">
        <f t="shared" si="121"/>
        <v>0</v>
      </c>
      <c r="Z1722" s="9">
        <f t="shared" si="122"/>
        <v>0</v>
      </c>
      <c r="AD1722" s="9">
        <f t="shared" si="123"/>
        <v>0</v>
      </c>
    </row>
    <row r="1723" spans="3:30" x14ac:dyDescent="0.4">
      <c r="C1723" t="str">
        <f t="shared" si="120"/>
        <v/>
      </c>
      <c r="T1723" s="9">
        <f t="shared" si="121"/>
        <v>0</v>
      </c>
      <c r="Z1723" s="9">
        <f t="shared" si="122"/>
        <v>0</v>
      </c>
      <c r="AD1723" s="9">
        <f t="shared" si="123"/>
        <v>0</v>
      </c>
    </row>
    <row r="1724" spans="3:30" x14ac:dyDescent="0.4">
      <c r="C1724" t="str">
        <f t="shared" si="120"/>
        <v/>
      </c>
      <c r="T1724" s="9">
        <f t="shared" si="121"/>
        <v>0</v>
      </c>
      <c r="Z1724" s="9">
        <f t="shared" si="122"/>
        <v>0</v>
      </c>
      <c r="AD1724" s="9">
        <f t="shared" si="123"/>
        <v>0</v>
      </c>
    </row>
    <row r="1725" spans="3:30" x14ac:dyDescent="0.4">
      <c r="C1725" t="str">
        <f t="shared" si="120"/>
        <v/>
      </c>
      <c r="T1725" s="9">
        <f t="shared" si="121"/>
        <v>0</v>
      </c>
      <c r="Z1725" s="9">
        <f t="shared" si="122"/>
        <v>0</v>
      </c>
      <c r="AD1725" s="9">
        <f t="shared" si="123"/>
        <v>0</v>
      </c>
    </row>
    <row r="1726" spans="3:30" x14ac:dyDescent="0.4">
      <c r="C1726" t="str">
        <f t="shared" si="120"/>
        <v/>
      </c>
      <c r="T1726" s="9">
        <f t="shared" si="121"/>
        <v>0</v>
      </c>
      <c r="Z1726" s="9">
        <f t="shared" si="122"/>
        <v>0</v>
      </c>
      <c r="AD1726" s="9">
        <f t="shared" si="123"/>
        <v>0</v>
      </c>
    </row>
    <row r="1727" spans="3:30" x14ac:dyDescent="0.4">
      <c r="C1727" t="str">
        <f t="shared" si="120"/>
        <v/>
      </c>
      <c r="T1727" s="9">
        <f t="shared" si="121"/>
        <v>0</v>
      </c>
      <c r="Z1727" s="9">
        <f t="shared" si="122"/>
        <v>0</v>
      </c>
      <c r="AD1727" s="9">
        <f t="shared" si="123"/>
        <v>0</v>
      </c>
    </row>
    <row r="1728" spans="3:30" x14ac:dyDescent="0.4">
      <c r="C1728" t="str">
        <f t="shared" si="120"/>
        <v/>
      </c>
      <c r="T1728" s="9">
        <f t="shared" si="121"/>
        <v>0</v>
      </c>
      <c r="Z1728" s="9">
        <f t="shared" si="122"/>
        <v>0</v>
      </c>
      <c r="AD1728" s="9">
        <f t="shared" si="123"/>
        <v>0</v>
      </c>
    </row>
    <row r="1729" spans="3:30" x14ac:dyDescent="0.4">
      <c r="C1729" t="str">
        <f t="shared" si="120"/>
        <v/>
      </c>
      <c r="T1729" s="9">
        <f t="shared" si="121"/>
        <v>0</v>
      </c>
      <c r="Z1729" s="9">
        <f t="shared" si="122"/>
        <v>0</v>
      </c>
      <c r="AD1729" s="9">
        <f t="shared" si="123"/>
        <v>0</v>
      </c>
    </row>
    <row r="1730" spans="3:30" x14ac:dyDescent="0.4">
      <c r="C1730" t="str">
        <f t="shared" si="120"/>
        <v/>
      </c>
      <c r="T1730" s="9">
        <f t="shared" si="121"/>
        <v>0</v>
      </c>
      <c r="Z1730" s="9">
        <f t="shared" si="122"/>
        <v>0</v>
      </c>
      <c r="AD1730" s="9">
        <f t="shared" si="123"/>
        <v>0</v>
      </c>
    </row>
    <row r="1731" spans="3:30" x14ac:dyDescent="0.4">
      <c r="C1731" t="str">
        <f t="shared" ref="C1731:C1794" si="124">IF(A1731="","",$J$1&amp;"\"&amp;A1731)</f>
        <v/>
      </c>
      <c r="T1731" s="9">
        <f t="shared" si="121"/>
        <v>0</v>
      </c>
      <c r="Z1731" s="9">
        <f t="shared" si="122"/>
        <v>0</v>
      </c>
      <c r="AD1731" s="9">
        <f t="shared" si="123"/>
        <v>0</v>
      </c>
    </row>
    <row r="1732" spans="3:30" x14ac:dyDescent="0.4">
      <c r="C1732" t="str">
        <f t="shared" si="124"/>
        <v/>
      </c>
      <c r="T1732" s="9">
        <f t="shared" si="121"/>
        <v>0</v>
      </c>
      <c r="Z1732" s="9">
        <f t="shared" si="122"/>
        <v>0</v>
      </c>
      <c r="AD1732" s="9">
        <f t="shared" si="123"/>
        <v>0</v>
      </c>
    </row>
    <row r="1733" spans="3:30" x14ac:dyDescent="0.4">
      <c r="C1733" t="str">
        <f t="shared" si="124"/>
        <v/>
      </c>
      <c r="T1733" s="9">
        <f t="shared" si="121"/>
        <v>0</v>
      </c>
      <c r="Z1733" s="9">
        <f t="shared" si="122"/>
        <v>0</v>
      </c>
      <c r="AD1733" s="9">
        <f t="shared" si="123"/>
        <v>0</v>
      </c>
    </row>
    <row r="1734" spans="3:30" x14ac:dyDescent="0.4">
      <c r="C1734" t="str">
        <f t="shared" si="124"/>
        <v/>
      </c>
      <c r="T1734" s="9">
        <f t="shared" si="121"/>
        <v>0</v>
      </c>
      <c r="Z1734" s="9">
        <f t="shared" si="122"/>
        <v>0</v>
      </c>
      <c r="AD1734" s="9">
        <f t="shared" si="123"/>
        <v>0</v>
      </c>
    </row>
    <row r="1735" spans="3:30" x14ac:dyDescent="0.4">
      <c r="C1735" t="str">
        <f t="shared" si="124"/>
        <v/>
      </c>
      <c r="T1735" s="9">
        <f t="shared" si="121"/>
        <v>0</v>
      </c>
      <c r="Z1735" s="9">
        <f t="shared" si="122"/>
        <v>0</v>
      </c>
      <c r="AD1735" s="9">
        <f t="shared" si="123"/>
        <v>0</v>
      </c>
    </row>
    <row r="1736" spans="3:30" x14ac:dyDescent="0.4">
      <c r="C1736" t="str">
        <f t="shared" si="124"/>
        <v/>
      </c>
      <c r="T1736" s="9">
        <f t="shared" ref="T1736:T1799" si="125">(COUNTIFS(TH_TK,N1736,TH_DuNo,O1736,TH_DuNoNT,P1736,TH_DuCo,Q1736,TH_DuCoNT,R1736,TH_SoLuong,S1736)&gt;0)*1</f>
        <v>0</v>
      </c>
      <c r="Z1736" s="9">
        <f t="shared" ref="Z1736:Z1799" si="126">(COUNTIFS(NV,U1736,TK,V1736,TongNo,W1736,TongCo,X1736,SoLuong,Y1736)&gt;0)*1</f>
        <v>0</v>
      </c>
      <c r="AD1736" s="9">
        <f t="shared" ref="AD1736:AD1799" si="127">COUNTIFS(ReportType,AA1736,ItemCode,AB1736,Amount,AC1736)</f>
        <v>0</v>
      </c>
    </row>
    <row r="1737" spans="3:30" x14ac:dyDescent="0.4">
      <c r="C1737" t="str">
        <f t="shared" si="124"/>
        <v/>
      </c>
      <c r="T1737" s="9">
        <f t="shared" si="125"/>
        <v>0</v>
      </c>
      <c r="Z1737" s="9">
        <f t="shared" si="126"/>
        <v>0</v>
      </c>
      <c r="AD1737" s="9">
        <f t="shared" si="127"/>
        <v>0</v>
      </c>
    </row>
    <row r="1738" spans="3:30" x14ac:dyDescent="0.4">
      <c r="C1738" t="str">
        <f t="shared" si="124"/>
        <v/>
      </c>
      <c r="T1738" s="9">
        <f t="shared" si="125"/>
        <v>0</v>
      </c>
      <c r="Z1738" s="9">
        <f t="shared" si="126"/>
        <v>0</v>
      </c>
      <c r="AD1738" s="9">
        <f t="shared" si="127"/>
        <v>0</v>
      </c>
    </row>
    <row r="1739" spans="3:30" x14ac:dyDescent="0.4">
      <c r="C1739" t="str">
        <f t="shared" si="124"/>
        <v/>
      </c>
      <c r="T1739" s="9">
        <f t="shared" si="125"/>
        <v>0</v>
      </c>
      <c r="Z1739" s="9">
        <f t="shared" si="126"/>
        <v>0</v>
      </c>
      <c r="AD1739" s="9">
        <f t="shared" si="127"/>
        <v>0</v>
      </c>
    </row>
    <row r="1740" spans="3:30" x14ac:dyDescent="0.4">
      <c r="C1740" t="str">
        <f t="shared" si="124"/>
        <v/>
      </c>
      <c r="T1740" s="9">
        <f t="shared" si="125"/>
        <v>0</v>
      </c>
      <c r="Z1740" s="9">
        <f t="shared" si="126"/>
        <v>0</v>
      </c>
      <c r="AD1740" s="9">
        <f t="shared" si="127"/>
        <v>0</v>
      </c>
    </row>
    <row r="1741" spans="3:30" x14ac:dyDescent="0.4">
      <c r="C1741" t="str">
        <f t="shared" si="124"/>
        <v/>
      </c>
      <c r="T1741" s="9">
        <f t="shared" si="125"/>
        <v>0</v>
      </c>
      <c r="Z1741" s="9">
        <f t="shared" si="126"/>
        <v>0</v>
      </c>
      <c r="AD1741" s="9">
        <f t="shared" si="127"/>
        <v>0</v>
      </c>
    </row>
    <row r="1742" spans="3:30" x14ac:dyDescent="0.4">
      <c r="C1742" t="str">
        <f t="shared" si="124"/>
        <v/>
      </c>
      <c r="T1742" s="9">
        <f t="shared" si="125"/>
        <v>0</v>
      </c>
      <c r="Z1742" s="9">
        <f t="shared" si="126"/>
        <v>0</v>
      </c>
      <c r="AD1742" s="9">
        <f t="shared" si="127"/>
        <v>0</v>
      </c>
    </row>
    <row r="1743" spans="3:30" x14ac:dyDescent="0.4">
      <c r="C1743" t="str">
        <f t="shared" si="124"/>
        <v/>
      </c>
      <c r="T1743" s="9">
        <f t="shared" si="125"/>
        <v>0</v>
      </c>
      <c r="Z1743" s="9">
        <f t="shared" si="126"/>
        <v>0</v>
      </c>
      <c r="AD1743" s="9">
        <f t="shared" si="127"/>
        <v>0</v>
      </c>
    </row>
    <row r="1744" spans="3:30" x14ac:dyDescent="0.4">
      <c r="C1744" t="str">
        <f t="shared" si="124"/>
        <v/>
      </c>
      <c r="T1744" s="9">
        <f t="shared" si="125"/>
        <v>0</v>
      </c>
      <c r="Z1744" s="9">
        <f t="shared" si="126"/>
        <v>0</v>
      </c>
      <c r="AD1744" s="9">
        <f t="shared" si="127"/>
        <v>0</v>
      </c>
    </row>
    <row r="1745" spans="3:30" x14ac:dyDescent="0.4">
      <c r="C1745" t="str">
        <f t="shared" si="124"/>
        <v/>
      </c>
      <c r="T1745" s="9">
        <f t="shared" si="125"/>
        <v>0</v>
      </c>
      <c r="Z1745" s="9">
        <f t="shared" si="126"/>
        <v>0</v>
      </c>
      <c r="AD1745" s="9">
        <f t="shared" si="127"/>
        <v>0</v>
      </c>
    </row>
    <row r="1746" spans="3:30" x14ac:dyDescent="0.4">
      <c r="C1746" t="str">
        <f t="shared" si="124"/>
        <v/>
      </c>
      <c r="T1746" s="9">
        <f t="shared" si="125"/>
        <v>0</v>
      </c>
      <c r="Z1746" s="9">
        <f t="shared" si="126"/>
        <v>0</v>
      </c>
      <c r="AD1746" s="9">
        <f t="shared" si="127"/>
        <v>0</v>
      </c>
    </row>
    <row r="1747" spans="3:30" x14ac:dyDescent="0.4">
      <c r="C1747" t="str">
        <f t="shared" si="124"/>
        <v/>
      </c>
      <c r="T1747" s="9">
        <f t="shared" si="125"/>
        <v>0</v>
      </c>
      <c r="Z1747" s="9">
        <f t="shared" si="126"/>
        <v>0</v>
      </c>
      <c r="AD1747" s="9">
        <f t="shared" si="127"/>
        <v>0</v>
      </c>
    </row>
    <row r="1748" spans="3:30" x14ac:dyDescent="0.4">
      <c r="C1748" t="str">
        <f t="shared" si="124"/>
        <v/>
      </c>
      <c r="T1748" s="9">
        <f t="shared" si="125"/>
        <v>0</v>
      </c>
      <c r="Z1748" s="9">
        <f t="shared" si="126"/>
        <v>0</v>
      </c>
      <c r="AD1748" s="9">
        <f t="shared" si="127"/>
        <v>0</v>
      </c>
    </row>
    <row r="1749" spans="3:30" x14ac:dyDescent="0.4">
      <c r="C1749" t="str">
        <f t="shared" si="124"/>
        <v/>
      </c>
      <c r="T1749" s="9">
        <f t="shared" si="125"/>
        <v>0</v>
      </c>
      <c r="Z1749" s="9">
        <f t="shared" si="126"/>
        <v>0</v>
      </c>
      <c r="AD1749" s="9">
        <f t="shared" si="127"/>
        <v>0</v>
      </c>
    </row>
    <row r="1750" spans="3:30" x14ac:dyDescent="0.4">
      <c r="C1750" t="str">
        <f t="shared" si="124"/>
        <v/>
      </c>
      <c r="T1750" s="9">
        <f t="shared" si="125"/>
        <v>0</v>
      </c>
      <c r="Z1750" s="9">
        <f t="shared" si="126"/>
        <v>0</v>
      </c>
      <c r="AD1750" s="9">
        <f t="shared" si="127"/>
        <v>0</v>
      </c>
    </row>
    <row r="1751" spans="3:30" x14ac:dyDescent="0.4">
      <c r="C1751" t="str">
        <f t="shared" si="124"/>
        <v/>
      </c>
      <c r="T1751" s="9">
        <f t="shared" si="125"/>
        <v>0</v>
      </c>
      <c r="Z1751" s="9">
        <f t="shared" si="126"/>
        <v>0</v>
      </c>
      <c r="AD1751" s="9">
        <f t="shared" si="127"/>
        <v>0</v>
      </c>
    </row>
    <row r="1752" spans="3:30" x14ac:dyDescent="0.4">
      <c r="C1752" t="str">
        <f t="shared" si="124"/>
        <v/>
      </c>
      <c r="T1752" s="9">
        <f t="shared" si="125"/>
        <v>0</v>
      </c>
      <c r="Z1752" s="9">
        <f t="shared" si="126"/>
        <v>0</v>
      </c>
      <c r="AD1752" s="9">
        <f t="shared" si="127"/>
        <v>0</v>
      </c>
    </row>
    <row r="1753" spans="3:30" x14ac:dyDescent="0.4">
      <c r="C1753" t="str">
        <f t="shared" si="124"/>
        <v/>
      </c>
      <c r="T1753" s="9">
        <f t="shared" si="125"/>
        <v>0</v>
      </c>
      <c r="Z1753" s="9">
        <f t="shared" si="126"/>
        <v>0</v>
      </c>
      <c r="AD1753" s="9">
        <f t="shared" si="127"/>
        <v>0</v>
      </c>
    </row>
    <row r="1754" spans="3:30" x14ac:dyDescent="0.4">
      <c r="C1754" t="str">
        <f t="shared" si="124"/>
        <v/>
      </c>
      <c r="T1754" s="9">
        <f t="shared" si="125"/>
        <v>0</v>
      </c>
      <c r="Z1754" s="9">
        <f t="shared" si="126"/>
        <v>0</v>
      </c>
      <c r="AD1754" s="9">
        <f t="shared" si="127"/>
        <v>0</v>
      </c>
    </row>
    <row r="1755" spans="3:30" x14ac:dyDescent="0.4">
      <c r="C1755" t="str">
        <f t="shared" si="124"/>
        <v/>
      </c>
      <c r="T1755" s="9">
        <f t="shared" si="125"/>
        <v>0</v>
      </c>
      <c r="Z1755" s="9">
        <f t="shared" si="126"/>
        <v>0</v>
      </c>
      <c r="AD1755" s="9">
        <f t="shared" si="127"/>
        <v>0</v>
      </c>
    </row>
    <row r="1756" spans="3:30" x14ac:dyDescent="0.4">
      <c r="C1756" t="str">
        <f t="shared" si="124"/>
        <v/>
      </c>
      <c r="T1756" s="9">
        <f t="shared" si="125"/>
        <v>0</v>
      </c>
      <c r="Z1756" s="9">
        <f t="shared" si="126"/>
        <v>0</v>
      </c>
      <c r="AD1756" s="9">
        <f t="shared" si="127"/>
        <v>0</v>
      </c>
    </row>
    <row r="1757" spans="3:30" x14ac:dyDescent="0.4">
      <c r="C1757" t="str">
        <f t="shared" si="124"/>
        <v/>
      </c>
      <c r="T1757" s="9">
        <f t="shared" si="125"/>
        <v>0</v>
      </c>
      <c r="Z1757" s="9">
        <f t="shared" si="126"/>
        <v>0</v>
      </c>
      <c r="AD1757" s="9">
        <f t="shared" si="127"/>
        <v>0</v>
      </c>
    </row>
    <row r="1758" spans="3:30" x14ac:dyDescent="0.4">
      <c r="C1758" t="str">
        <f t="shared" si="124"/>
        <v/>
      </c>
      <c r="T1758" s="9">
        <f t="shared" si="125"/>
        <v>0</v>
      </c>
      <c r="Z1758" s="9">
        <f t="shared" si="126"/>
        <v>0</v>
      </c>
      <c r="AD1758" s="9">
        <f t="shared" si="127"/>
        <v>0</v>
      </c>
    </row>
    <row r="1759" spans="3:30" x14ac:dyDescent="0.4">
      <c r="C1759" t="str">
        <f t="shared" si="124"/>
        <v/>
      </c>
      <c r="T1759" s="9">
        <f t="shared" si="125"/>
        <v>0</v>
      </c>
      <c r="Z1759" s="9">
        <f t="shared" si="126"/>
        <v>0</v>
      </c>
      <c r="AD1759" s="9">
        <f t="shared" si="127"/>
        <v>0</v>
      </c>
    </row>
    <row r="1760" spans="3:30" x14ac:dyDescent="0.4">
      <c r="C1760" t="str">
        <f t="shared" si="124"/>
        <v/>
      </c>
      <c r="T1760" s="9">
        <f t="shared" si="125"/>
        <v>0</v>
      </c>
      <c r="Z1760" s="9">
        <f t="shared" si="126"/>
        <v>0</v>
      </c>
      <c r="AD1760" s="9">
        <f t="shared" si="127"/>
        <v>0</v>
      </c>
    </row>
    <row r="1761" spans="3:30" x14ac:dyDescent="0.4">
      <c r="C1761" t="str">
        <f t="shared" si="124"/>
        <v/>
      </c>
      <c r="T1761" s="9">
        <f t="shared" si="125"/>
        <v>0</v>
      </c>
      <c r="Z1761" s="9">
        <f t="shared" si="126"/>
        <v>0</v>
      </c>
      <c r="AD1761" s="9">
        <f t="shared" si="127"/>
        <v>0</v>
      </c>
    </row>
    <row r="1762" spans="3:30" x14ac:dyDescent="0.4">
      <c r="C1762" t="str">
        <f t="shared" si="124"/>
        <v/>
      </c>
      <c r="T1762" s="9">
        <f t="shared" si="125"/>
        <v>0</v>
      </c>
      <c r="Z1762" s="9">
        <f t="shared" si="126"/>
        <v>0</v>
      </c>
      <c r="AD1762" s="9">
        <f t="shared" si="127"/>
        <v>0</v>
      </c>
    </row>
    <row r="1763" spans="3:30" x14ac:dyDescent="0.4">
      <c r="C1763" t="str">
        <f t="shared" si="124"/>
        <v/>
      </c>
      <c r="T1763" s="9">
        <f t="shared" si="125"/>
        <v>0</v>
      </c>
      <c r="Z1763" s="9">
        <f t="shared" si="126"/>
        <v>0</v>
      </c>
      <c r="AD1763" s="9">
        <f t="shared" si="127"/>
        <v>0</v>
      </c>
    </row>
    <row r="1764" spans="3:30" x14ac:dyDescent="0.4">
      <c r="C1764" t="str">
        <f t="shared" si="124"/>
        <v/>
      </c>
      <c r="T1764" s="9">
        <f t="shared" si="125"/>
        <v>0</v>
      </c>
      <c r="Z1764" s="9">
        <f t="shared" si="126"/>
        <v>0</v>
      </c>
      <c r="AD1764" s="9">
        <f t="shared" si="127"/>
        <v>0</v>
      </c>
    </row>
    <row r="1765" spans="3:30" x14ac:dyDescent="0.4">
      <c r="C1765" t="str">
        <f t="shared" si="124"/>
        <v/>
      </c>
      <c r="T1765" s="9">
        <f t="shared" si="125"/>
        <v>0</v>
      </c>
      <c r="Z1765" s="9">
        <f t="shared" si="126"/>
        <v>0</v>
      </c>
      <c r="AD1765" s="9">
        <f t="shared" si="127"/>
        <v>0</v>
      </c>
    </row>
    <row r="1766" spans="3:30" x14ac:dyDescent="0.4">
      <c r="C1766" t="str">
        <f t="shared" si="124"/>
        <v/>
      </c>
      <c r="T1766" s="9">
        <f t="shared" si="125"/>
        <v>0</v>
      </c>
      <c r="Z1766" s="9">
        <f t="shared" si="126"/>
        <v>0</v>
      </c>
      <c r="AD1766" s="9">
        <f t="shared" si="127"/>
        <v>0</v>
      </c>
    </row>
    <row r="1767" spans="3:30" x14ac:dyDescent="0.4">
      <c r="C1767" t="str">
        <f t="shared" si="124"/>
        <v/>
      </c>
      <c r="T1767" s="9">
        <f t="shared" si="125"/>
        <v>0</v>
      </c>
      <c r="Z1767" s="9">
        <f t="shared" si="126"/>
        <v>0</v>
      </c>
      <c r="AD1767" s="9">
        <f t="shared" si="127"/>
        <v>0</v>
      </c>
    </row>
    <row r="1768" spans="3:30" x14ac:dyDescent="0.4">
      <c r="C1768" t="str">
        <f t="shared" si="124"/>
        <v/>
      </c>
      <c r="T1768" s="9">
        <f t="shared" si="125"/>
        <v>0</v>
      </c>
      <c r="Z1768" s="9">
        <f t="shared" si="126"/>
        <v>0</v>
      </c>
      <c r="AD1768" s="9">
        <f t="shared" si="127"/>
        <v>0</v>
      </c>
    </row>
    <row r="1769" spans="3:30" x14ac:dyDescent="0.4">
      <c r="C1769" t="str">
        <f t="shared" si="124"/>
        <v/>
      </c>
      <c r="T1769" s="9">
        <f t="shared" si="125"/>
        <v>0</v>
      </c>
      <c r="Z1769" s="9">
        <f t="shared" si="126"/>
        <v>0</v>
      </c>
      <c r="AD1769" s="9">
        <f t="shared" si="127"/>
        <v>0</v>
      </c>
    </row>
    <row r="1770" spans="3:30" x14ac:dyDescent="0.4">
      <c r="C1770" t="str">
        <f t="shared" si="124"/>
        <v/>
      </c>
      <c r="T1770" s="9">
        <f t="shared" si="125"/>
        <v>0</v>
      </c>
      <c r="Z1770" s="9">
        <f t="shared" si="126"/>
        <v>0</v>
      </c>
      <c r="AD1770" s="9">
        <f t="shared" si="127"/>
        <v>0</v>
      </c>
    </row>
    <row r="1771" spans="3:30" x14ac:dyDescent="0.4">
      <c r="C1771" t="str">
        <f t="shared" si="124"/>
        <v/>
      </c>
      <c r="T1771" s="9">
        <f t="shared" si="125"/>
        <v>0</v>
      </c>
      <c r="Z1771" s="9">
        <f t="shared" si="126"/>
        <v>0</v>
      </c>
      <c r="AD1771" s="9">
        <f t="shared" si="127"/>
        <v>0</v>
      </c>
    </row>
    <row r="1772" spans="3:30" x14ac:dyDescent="0.4">
      <c r="C1772" t="str">
        <f t="shared" si="124"/>
        <v/>
      </c>
      <c r="T1772" s="9">
        <f t="shared" si="125"/>
        <v>0</v>
      </c>
      <c r="Z1772" s="9">
        <f t="shared" si="126"/>
        <v>0</v>
      </c>
      <c r="AD1772" s="9">
        <f t="shared" si="127"/>
        <v>0</v>
      </c>
    </row>
    <row r="1773" spans="3:30" x14ac:dyDescent="0.4">
      <c r="C1773" t="str">
        <f t="shared" si="124"/>
        <v/>
      </c>
      <c r="T1773" s="9">
        <f t="shared" si="125"/>
        <v>0</v>
      </c>
      <c r="Z1773" s="9">
        <f t="shared" si="126"/>
        <v>0</v>
      </c>
      <c r="AD1773" s="9">
        <f t="shared" si="127"/>
        <v>0</v>
      </c>
    </row>
    <row r="1774" spans="3:30" x14ac:dyDescent="0.4">
      <c r="C1774" t="str">
        <f t="shared" si="124"/>
        <v/>
      </c>
      <c r="T1774" s="9">
        <f t="shared" si="125"/>
        <v>0</v>
      </c>
      <c r="Z1774" s="9">
        <f t="shared" si="126"/>
        <v>0</v>
      </c>
      <c r="AD1774" s="9">
        <f t="shared" si="127"/>
        <v>0</v>
      </c>
    </row>
    <row r="1775" spans="3:30" x14ac:dyDescent="0.4">
      <c r="C1775" t="str">
        <f t="shared" si="124"/>
        <v/>
      </c>
      <c r="T1775" s="9">
        <f t="shared" si="125"/>
        <v>0</v>
      </c>
      <c r="Z1775" s="9">
        <f t="shared" si="126"/>
        <v>0</v>
      </c>
      <c r="AD1775" s="9">
        <f t="shared" si="127"/>
        <v>0</v>
      </c>
    </row>
    <row r="1776" spans="3:30" x14ac:dyDescent="0.4">
      <c r="C1776" t="str">
        <f t="shared" si="124"/>
        <v/>
      </c>
      <c r="T1776" s="9">
        <f t="shared" si="125"/>
        <v>0</v>
      </c>
      <c r="Z1776" s="9">
        <f t="shared" si="126"/>
        <v>0</v>
      </c>
      <c r="AD1776" s="9">
        <f t="shared" si="127"/>
        <v>0</v>
      </c>
    </row>
    <row r="1777" spans="3:30" x14ac:dyDescent="0.4">
      <c r="C1777" t="str">
        <f t="shared" si="124"/>
        <v/>
      </c>
      <c r="T1777" s="9">
        <f t="shared" si="125"/>
        <v>0</v>
      </c>
      <c r="Z1777" s="9">
        <f t="shared" si="126"/>
        <v>0</v>
      </c>
      <c r="AD1777" s="9">
        <f t="shared" si="127"/>
        <v>0</v>
      </c>
    </row>
    <row r="1778" spans="3:30" x14ac:dyDescent="0.4">
      <c r="C1778" t="str">
        <f t="shared" si="124"/>
        <v/>
      </c>
      <c r="T1778" s="9">
        <f t="shared" si="125"/>
        <v>0</v>
      </c>
      <c r="Z1778" s="9">
        <f t="shared" si="126"/>
        <v>0</v>
      </c>
      <c r="AD1778" s="9">
        <f t="shared" si="127"/>
        <v>0</v>
      </c>
    </row>
    <row r="1779" spans="3:30" x14ac:dyDescent="0.4">
      <c r="C1779" t="str">
        <f t="shared" si="124"/>
        <v/>
      </c>
      <c r="T1779" s="9">
        <f t="shared" si="125"/>
        <v>0</v>
      </c>
      <c r="Z1779" s="9">
        <f t="shared" si="126"/>
        <v>0</v>
      </c>
      <c r="AD1779" s="9">
        <f t="shared" si="127"/>
        <v>0</v>
      </c>
    </row>
    <row r="1780" spans="3:30" x14ac:dyDescent="0.4">
      <c r="C1780" t="str">
        <f t="shared" si="124"/>
        <v/>
      </c>
      <c r="T1780" s="9">
        <f t="shared" si="125"/>
        <v>0</v>
      </c>
      <c r="Z1780" s="9">
        <f t="shared" si="126"/>
        <v>0</v>
      </c>
      <c r="AD1780" s="9">
        <f t="shared" si="127"/>
        <v>0</v>
      </c>
    </row>
    <row r="1781" spans="3:30" x14ac:dyDescent="0.4">
      <c r="C1781" t="str">
        <f t="shared" si="124"/>
        <v/>
      </c>
      <c r="T1781" s="9">
        <f t="shared" si="125"/>
        <v>0</v>
      </c>
      <c r="Z1781" s="9">
        <f t="shared" si="126"/>
        <v>0</v>
      </c>
      <c r="AD1781" s="9">
        <f t="shared" si="127"/>
        <v>0</v>
      </c>
    </row>
    <row r="1782" spans="3:30" x14ac:dyDescent="0.4">
      <c r="C1782" t="str">
        <f t="shared" si="124"/>
        <v/>
      </c>
      <c r="T1782" s="9">
        <f t="shared" si="125"/>
        <v>0</v>
      </c>
      <c r="Z1782" s="9">
        <f t="shared" si="126"/>
        <v>0</v>
      </c>
      <c r="AD1782" s="9">
        <f t="shared" si="127"/>
        <v>0</v>
      </c>
    </row>
    <row r="1783" spans="3:30" x14ac:dyDescent="0.4">
      <c r="C1783" t="str">
        <f t="shared" si="124"/>
        <v/>
      </c>
      <c r="T1783" s="9">
        <f t="shared" si="125"/>
        <v>0</v>
      </c>
      <c r="Z1783" s="9">
        <f t="shared" si="126"/>
        <v>0</v>
      </c>
      <c r="AD1783" s="9">
        <f t="shared" si="127"/>
        <v>0</v>
      </c>
    </row>
    <row r="1784" spans="3:30" x14ac:dyDescent="0.4">
      <c r="C1784" t="str">
        <f t="shared" si="124"/>
        <v/>
      </c>
      <c r="T1784" s="9">
        <f t="shared" si="125"/>
        <v>0</v>
      </c>
      <c r="Z1784" s="9">
        <f t="shared" si="126"/>
        <v>0</v>
      </c>
      <c r="AD1784" s="9">
        <f t="shared" si="127"/>
        <v>0</v>
      </c>
    </row>
    <row r="1785" spans="3:30" x14ac:dyDescent="0.4">
      <c r="C1785" t="str">
        <f t="shared" si="124"/>
        <v/>
      </c>
      <c r="T1785" s="9">
        <f t="shared" si="125"/>
        <v>0</v>
      </c>
      <c r="Z1785" s="9">
        <f t="shared" si="126"/>
        <v>0</v>
      </c>
      <c r="AD1785" s="9">
        <f t="shared" si="127"/>
        <v>0</v>
      </c>
    </row>
    <row r="1786" spans="3:30" x14ac:dyDescent="0.4">
      <c r="C1786" t="str">
        <f t="shared" si="124"/>
        <v/>
      </c>
      <c r="T1786" s="9">
        <f t="shared" si="125"/>
        <v>0</v>
      </c>
      <c r="Z1786" s="9">
        <f t="shared" si="126"/>
        <v>0</v>
      </c>
      <c r="AD1786" s="9">
        <f t="shared" si="127"/>
        <v>0</v>
      </c>
    </row>
    <row r="1787" spans="3:30" x14ac:dyDescent="0.4">
      <c r="C1787" t="str">
        <f t="shared" si="124"/>
        <v/>
      </c>
      <c r="T1787" s="9">
        <f t="shared" si="125"/>
        <v>0</v>
      </c>
      <c r="Z1787" s="9">
        <f t="shared" si="126"/>
        <v>0</v>
      </c>
      <c r="AD1787" s="9">
        <f t="shared" si="127"/>
        <v>0</v>
      </c>
    </row>
    <row r="1788" spans="3:30" x14ac:dyDescent="0.4">
      <c r="C1788" t="str">
        <f t="shared" si="124"/>
        <v/>
      </c>
      <c r="T1788" s="9">
        <f t="shared" si="125"/>
        <v>0</v>
      </c>
      <c r="Z1788" s="9">
        <f t="shared" si="126"/>
        <v>0</v>
      </c>
      <c r="AD1788" s="9">
        <f t="shared" si="127"/>
        <v>0</v>
      </c>
    </row>
    <row r="1789" spans="3:30" x14ac:dyDescent="0.4">
      <c r="C1789" t="str">
        <f t="shared" si="124"/>
        <v/>
      </c>
      <c r="T1789" s="9">
        <f t="shared" si="125"/>
        <v>0</v>
      </c>
      <c r="Z1789" s="9">
        <f t="shared" si="126"/>
        <v>0</v>
      </c>
      <c r="AD1789" s="9">
        <f t="shared" si="127"/>
        <v>0</v>
      </c>
    </row>
    <row r="1790" spans="3:30" x14ac:dyDescent="0.4">
      <c r="C1790" t="str">
        <f t="shared" si="124"/>
        <v/>
      </c>
      <c r="T1790" s="9">
        <f t="shared" si="125"/>
        <v>0</v>
      </c>
      <c r="Z1790" s="9">
        <f t="shared" si="126"/>
        <v>0</v>
      </c>
      <c r="AD1790" s="9">
        <f t="shared" si="127"/>
        <v>0</v>
      </c>
    </row>
    <row r="1791" spans="3:30" x14ac:dyDescent="0.4">
      <c r="C1791" t="str">
        <f t="shared" si="124"/>
        <v/>
      </c>
      <c r="T1791" s="9">
        <f t="shared" si="125"/>
        <v>0</v>
      </c>
      <c r="Z1791" s="9">
        <f t="shared" si="126"/>
        <v>0</v>
      </c>
      <c r="AD1791" s="9">
        <f t="shared" si="127"/>
        <v>0</v>
      </c>
    </row>
    <row r="1792" spans="3:30" x14ac:dyDescent="0.4">
      <c r="C1792" t="str">
        <f t="shared" si="124"/>
        <v/>
      </c>
      <c r="T1792" s="9">
        <f t="shared" si="125"/>
        <v>0</v>
      </c>
      <c r="Z1792" s="9">
        <f t="shared" si="126"/>
        <v>0</v>
      </c>
      <c r="AD1792" s="9">
        <f t="shared" si="127"/>
        <v>0</v>
      </c>
    </row>
    <row r="1793" spans="3:30" x14ac:dyDescent="0.4">
      <c r="C1793" t="str">
        <f t="shared" si="124"/>
        <v/>
      </c>
      <c r="T1793" s="9">
        <f t="shared" si="125"/>
        <v>0</v>
      </c>
      <c r="Z1793" s="9">
        <f t="shared" si="126"/>
        <v>0</v>
      </c>
      <c r="AD1793" s="9">
        <f t="shared" si="127"/>
        <v>0</v>
      </c>
    </row>
    <row r="1794" spans="3:30" x14ac:dyDescent="0.4">
      <c r="C1794" t="str">
        <f t="shared" si="124"/>
        <v/>
      </c>
      <c r="T1794" s="9">
        <f t="shared" si="125"/>
        <v>0</v>
      </c>
      <c r="Z1794" s="9">
        <f t="shared" si="126"/>
        <v>0</v>
      </c>
      <c r="AD1794" s="9">
        <f t="shared" si="127"/>
        <v>0</v>
      </c>
    </row>
    <row r="1795" spans="3:30" x14ac:dyDescent="0.4">
      <c r="C1795" t="str">
        <f t="shared" ref="C1795:C1858" si="128">IF(A1795="","",$J$1&amp;"\"&amp;A1795)</f>
        <v/>
      </c>
      <c r="T1795" s="9">
        <f t="shared" si="125"/>
        <v>0</v>
      </c>
      <c r="Z1795" s="9">
        <f t="shared" si="126"/>
        <v>0</v>
      </c>
      <c r="AD1795" s="9">
        <f t="shared" si="127"/>
        <v>0</v>
      </c>
    </row>
    <row r="1796" spans="3:30" x14ac:dyDescent="0.4">
      <c r="C1796" t="str">
        <f t="shared" si="128"/>
        <v/>
      </c>
      <c r="T1796" s="9">
        <f t="shared" si="125"/>
        <v>0</v>
      </c>
      <c r="Z1796" s="9">
        <f t="shared" si="126"/>
        <v>0</v>
      </c>
      <c r="AD1796" s="9">
        <f t="shared" si="127"/>
        <v>0</v>
      </c>
    </row>
    <row r="1797" spans="3:30" x14ac:dyDescent="0.4">
      <c r="C1797" t="str">
        <f t="shared" si="128"/>
        <v/>
      </c>
      <c r="T1797" s="9">
        <f t="shared" si="125"/>
        <v>0</v>
      </c>
      <c r="Z1797" s="9">
        <f t="shared" si="126"/>
        <v>0</v>
      </c>
      <c r="AD1797" s="9">
        <f t="shared" si="127"/>
        <v>0</v>
      </c>
    </row>
    <row r="1798" spans="3:30" x14ac:dyDescent="0.4">
      <c r="C1798" t="str">
        <f t="shared" si="128"/>
        <v/>
      </c>
      <c r="T1798" s="9">
        <f t="shared" si="125"/>
        <v>0</v>
      </c>
      <c r="Z1798" s="9">
        <f t="shared" si="126"/>
        <v>0</v>
      </c>
      <c r="AD1798" s="9">
        <f t="shared" si="127"/>
        <v>0</v>
      </c>
    </row>
    <row r="1799" spans="3:30" x14ac:dyDescent="0.4">
      <c r="C1799" t="str">
        <f t="shared" si="128"/>
        <v/>
      </c>
      <c r="T1799" s="9">
        <f t="shared" si="125"/>
        <v>0</v>
      </c>
      <c r="Z1799" s="9">
        <f t="shared" si="126"/>
        <v>0</v>
      </c>
      <c r="AD1799" s="9">
        <f t="shared" si="127"/>
        <v>0</v>
      </c>
    </row>
    <row r="1800" spans="3:30" x14ac:dyDescent="0.4">
      <c r="C1800" t="str">
        <f t="shared" si="128"/>
        <v/>
      </c>
      <c r="T1800" s="9">
        <f t="shared" ref="T1800:T1863" si="129">(COUNTIFS(TH_TK,N1800,TH_DuNo,O1800,TH_DuNoNT,P1800,TH_DuCo,Q1800,TH_DuCoNT,R1800,TH_SoLuong,S1800)&gt;0)*1</f>
        <v>0</v>
      </c>
      <c r="Z1800" s="9">
        <f t="shared" ref="Z1800:Z1863" si="130">(COUNTIFS(NV,U1800,TK,V1800,TongNo,W1800,TongCo,X1800,SoLuong,Y1800)&gt;0)*1</f>
        <v>0</v>
      </c>
      <c r="AD1800" s="9">
        <f t="shared" ref="AD1800:AD1863" si="131">COUNTIFS(ReportType,AA1800,ItemCode,AB1800,Amount,AC1800)</f>
        <v>0</v>
      </c>
    </row>
    <row r="1801" spans="3:30" x14ac:dyDescent="0.4">
      <c r="C1801" t="str">
        <f t="shared" si="128"/>
        <v/>
      </c>
      <c r="T1801" s="9">
        <f t="shared" si="129"/>
        <v>0</v>
      </c>
      <c r="Z1801" s="9">
        <f t="shared" si="130"/>
        <v>0</v>
      </c>
      <c r="AD1801" s="9">
        <f t="shared" si="131"/>
        <v>0</v>
      </c>
    </row>
    <row r="1802" spans="3:30" x14ac:dyDescent="0.4">
      <c r="C1802" t="str">
        <f t="shared" si="128"/>
        <v/>
      </c>
      <c r="T1802" s="9">
        <f t="shared" si="129"/>
        <v>0</v>
      </c>
      <c r="Z1802" s="9">
        <f t="shared" si="130"/>
        <v>0</v>
      </c>
      <c r="AD1802" s="9">
        <f t="shared" si="131"/>
        <v>0</v>
      </c>
    </row>
    <row r="1803" spans="3:30" x14ac:dyDescent="0.4">
      <c r="C1803" t="str">
        <f t="shared" si="128"/>
        <v/>
      </c>
      <c r="T1803" s="9">
        <f t="shared" si="129"/>
        <v>0</v>
      </c>
      <c r="Z1803" s="9">
        <f t="shared" si="130"/>
        <v>0</v>
      </c>
      <c r="AD1803" s="9">
        <f t="shared" si="131"/>
        <v>0</v>
      </c>
    </row>
    <row r="1804" spans="3:30" x14ac:dyDescent="0.4">
      <c r="C1804" t="str">
        <f t="shared" si="128"/>
        <v/>
      </c>
      <c r="T1804" s="9">
        <f t="shared" si="129"/>
        <v>0</v>
      </c>
      <c r="Z1804" s="9">
        <f t="shared" si="130"/>
        <v>0</v>
      </c>
      <c r="AD1804" s="9">
        <f t="shared" si="131"/>
        <v>0</v>
      </c>
    </row>
    <row r="1805" spans="3:30" x14ac:dyDescent="0.4">
      <c r="C1805" t="str">
        <f t="shared" si="128"/>
        <v/>
      </c>
      <c r="T1805" s="9">
        <f t="shared" si="129"/>
        <v>0</v>
      </c>
      <c r="Z1805" s="9">
        <f t="shared" si="130"/>
        <v>0</v>
      </c>
      <c r="AD1805" s="9">
        <f t="shared" si="131"/>
        <v>0</v>
      </c>
    </row>
    <row r="1806" spans="3:30" x14ac:dyDescent="0.4">
      <c r="C1806" t="str">
        <f t="shared" si="128"/>
        <v/>
      </c>
      <c r="T1806" s="9">
        <f t="shared" si="129"/>
        <v>0</v>
      </c>
      <c r="Z1806" s="9">
        <f t="shared" si="130"/>
        <v>0</v>
      </c>
      <c r="AD1806" s="9">
        <f t="shared" si="131"/>
        <v>0</v>
      </c>
    </row>
    <row r="1807" spans="3:30" x14ac:dyDescent="0.4">
      <c r="C1807" t="str">
        <f t="shared" si="128"/>
        <v/>
      </c>
      <c r="T1807" s="9">
        <f t="shared" si="129"/>
        <v>0</v>
      </c>
      <c r="Z1807" s="9">
        <f t="shared" si="130"/>
        <v>0</v>
      </c>
      <c r="AD1807" s="9">
        <f t="shared" si="131"/>
        <v>0</v>
      </c>
    </row>
    <row r="1808" spans="3:30" x14ac:dyDescent="0.4">
      <c r="C1808" t="str">
        <f t="shared" si="128"/>
        <v/>
      </c>
      <c r="T1808" s="9">
        <f t="shared" si="129"/>
        <v>0</v>
      </c>
      <c r="Z1808" s="9">
        <f t="shared" si="130"/>
        <v>0</v>
      </c>
      <c r="AD1808" s="9">
        <f t="shared" si="131"/>
        <v>0</v>
      </c>
    </row>
    <row r="1809" spans="3:30" x14ac:dyDescent="0.4">
      <c r="C1809" t="str">
        <f t="shared" si="128"/>
        <v/>
      </c>
      <c r="T1809" s="9">
        <f t="shared" si="129"/>
        <v>0</v>
      </c>
      <c r="Z1809" s="9">
        <f t="shared" si="130"/>
        <v>0</v>
      </c>
      <c r="AD1809" s="9">
        <f t="shared" si="131"/>
        <v>0</v>
      </c>
    </row>
    <row r="1810" spans="3:30" x14ac:dyDescent="0.4">
      <c r="C1810" t="str">
        <f t="shared" si="128"/>
        <v/>
      </c>
      <c r="T1810" s="9">
        <f t="shared" si="129"/>
        <v>0</v>
      </c>
      <c r="Z1810" s="9">
        <f t="shared" si="130"/>
        <v>0</v>
      </c>
      <c r="AD1810" s="9">
        <f t="shared" si="131"/>
        <v>0</v>
      </c>
    </row>
    <row r="1811" spans="3:30" x14ac:dyDescent="0.4">
      <c r="C1811" t="str">
        <f t="shared" si="128"/>
        <v/>
      </c>
      <c r="T1811" s="9">
        <f t="shared" si="129"/>
        <v>0</v>
      </c>
      <c r="Z1811" s="9">
        <f t="shared" si="130"/>
        <v>0</v>
      </c>
      <c r="AD1811" s="9">
        <f t="shared" si="131"/>
        <v>0</v>
      </c>
    </row>
    <row r="1812" spans="3:30" x14ac:dyDescent="0.4">
      <c r="C1812" t="str">
        <f t="shared" si="128"/>
        <v/>
      </c>
      <c r="T1812" s="9">
        <f t="shared" si="129"/>
        <v>0</v>
      </c>
      <c r="Z1812" s="9">
        <f t="shared" si="130"/>
        <v>0</v>
      </c>
      <c r="AD1812" s="9">
        <f t="shared" si="131"/>
        <v>0</v>
      </c>
    </row>
    <row r="1813" spans="3:30" x14ac:dyDescent="0.4">
      <c r="C1813" t="str">
        <f t="shared" si="128"/>
        <v/>
      </c>
      <c r="T1813" s="9">
        <f t="shared" si="129"/>
        <v>0</v>
      </c>
      <c r="Z1813" s="9">
        <f t="shared" si="130"/>
        <v>0</v>
      </c>
      <c r="AD1813" s="9">
        <f t="shared" si="131"/>
        <v>0</v>
      </c>
    </row>
    <row r="1814" spans="3:30" x14ac:dyDescent="0.4">
      <c r="C1814" t="str">
        <f t="shared" si="128"/>
        <v/>
      </c>
      <c r="T1814" s="9">
        <f t="shared" si="129"/>
        <v>0</v>
      </c>
      <c r="Z1814" s="9">
        <f t="shared" si="130"/>
        <v>0</v>
      </c>
      <c r="AD1814" s="9">
        <f t="shared" si="131"/>
        <v>0</v>
      </c>
    </row>
    <row r="1815" spans="3:30" x14ac:dyDescent="0.4">
      <c r="C1815" t="str">
        <f t="shared" si="128"/>
        <v/>
      </c>
      <c r="T1815" s="9">
        <f t="shared" si="129"/>
        <v>0</v>
      </c>
      <c r="Z1815" s="9">
        <f t="shared" si="130"/>
        <v>0</v>
      </c>
      <c r="AD1815" s="9">
        <f t="shared" si="131"/>
        <v>0</v>
      </c>
    </row>
    <row r="1816" spans="3:30" x14ac:dyDescent="0.4">
      <c r="C1816" t="str">
        <f t="shared" si="128"/>
        <v/>
      </c>
      <c r="T1816" s="9">
        <f t="shared" si="129"/>
        <v>0</v>
      </c>
      <c r="Z1816" s="9">
        <f t="shared" si="130"/>
        <v>0</v>
      </c>
      <c r="AD1816" s="9">
        <f t="shared" si="131"/>
        <v>0</v>
      </c>
    </row>
    <row r="1817" spans="3:30" x14ac:dyDescent="0.4">
      <c r="C1817" t="str">
        <f t="shared" si="128"/>
        <v/>
      </c>
      <c r="T1817" s="9">
        <f t="shared" si="129"/>
        <v>0</v>
      </c>
      <c r="Z1817" s="9">
        <f t="shared" si="130"/>
        <v>0</v>
      </c>
      <c r="AD1817" s="9">
        <f t="shared" si="131"/>
        <v>0</v>
      </c>
    </row>
    <row r="1818" spans="3:30" x14ac:dyDescent="0.4">
      <c r="C1818" t="str">
        <f t="shared" si="128"/>
        <v/>
      </c>
      <c r="T1818" s="9">
        <f t="shared" si="129"/>
        <v>0</v>
      </c>
      <c r="Z1818" s="9">
        <f t="shared" si="130"/>
        <v>0</v>
      </c>
      <c r="AD1818" s="9">
        <f t="shared" si="131"/>
        <v>0</v>
      </c>
    </row>
    <row r="1819" spans="3:30" x14ac:dyDescent="0.4">
      <c r="C1819" t="str">
        <f t="shared" si="128"/>
        <v/>
      </c>
      <c r="T1819" s="9">
        <f t="shared" si="129"/>
        <v>0</v>
      </c>
      <c r="Z1819" s="9">
        <f t="shared" si="130"/>
        <v>0</v>
      </c>
      <c r="AD1819" s="9">
        <f t="shared" si="131"/>
        <v>0</v>
      </c>
    </row>
    <row r="1820" spans="3:30" x14ac:dyDescent="0.4">
      <c r="C1820" t="str">
        <f t="shared" si="128"/>
        <v/>
      </c>
      <c r="T1820" s="9">
        <f t="shared" si="129"/>
        <v>0</v>
      </c>
      <c r="Z1820" s="9">
        <f t="shared" si="130"/>
        <v>0</v>
      </c>
      <c r="AD1820" s="9">
        <f t="shared" si="131"/>
        <v>0</v>
      </c>
    </row>
    <row r="1821" spans="3:30" x14ac:dyDescent="0.4">
      <c r="C1821" t="str">
        <f t="shared" si="128"/>
        <v/>
      </c>
      <c r="T1821" s="9">
        <f t="shared" si="129"/>
        <v>0</v>
      </c>
      <c r="Z1821" s="9">
        <f t="shared" si="130"/>
        <v>0</v>
      </c>
      <c r="AD1821" s="9">
        <f t="shared" si="131"/>
        <v>0</v>
      </c>
    </row>
    <row r="1822" spans="3:30" x14ac:dyDescent="0.4">
      <c r="C1822" t="str">
        <f t="shared" si="128"/>
        <v/>
      </c>
      <c r="T1822" s="9">
        <f t="shared" si="129"/>
        <v>0</v>
      </c>
      <c r="Z1822" s="9">
        <f t="shared" si="130"/>
        <v>0</v>
      </c>
      <c r="AD1822" s="9">
        <f t="shared" si="131"/>
        <v>0</v>
      </c>
    </row>
    <row r="1823" spans="3:30" x14ac:dyDescent="0.4">
      <c r="C1823" t="str">
        <f t="shared" si="128"/>
        <v/>
      </c>
      <c r="T1823" s="9">
        <f t="shared" si="129"/>
        <v>0</v>
      </c>
      <c r="Z1823" s="9">
        <f t="shared" si="130"/>
        <v>0</v>
      </c>
      <c r="AD1823" s="9">
        <f t="shared" si="131"/>
        <v>0</v>
      </c>
    </row>
    <row r="1824" spans="3:30" x14ac:dyDescent="0.4">
      <c r="C1824" t="str">
        <f t="shared" si="128"/>
        <v/>
      </c>
      <c r="T1824" s="9">
        <f t="shared" si="129"/>
        <v>0</v>
      </c>
      <c r="Z1824" s="9">
        <f t="shared" si="130"/>
        <v>0</v>
      </c>
      <c r="AD1824" s="9">
        <f t="shared" si="131"/>
        <v>0</v>
      </c>
    </row>
    <row r="1825" spans="3:30" x14ac:dyDescent="0.4">
      <c r="C1825" t="str">
        <f t="shared" si="128"/>
        <v/>
      </c>
      <c r="T1825" s="9">
        <f t="shared" si="129"/>
        <v>0</v>
      </c>
      <c r="Z1825" s="9">
        <f t="shared" si="130"/>
        <v>0</v>
      </c>
      <c r="AD1825" s="9">
        <f t="shared" si="131"/>
        <v>0</v>
      </c>
    </row>
    <row r="1826" spans="3:30" x14ac:dyDescent="0.4">
      <c r="C1826" t="str">
        <f t="shared" si="128"/>
        <v/>
      </c>
      <c r="T1826" s="9">
        <f t="shared" si="129"/>
        <v>0</v>
      </c>
      <c r="Z1826" s="9">
        <f t="shared" si="130"/>
        <v>0</v>
      </c>
      <c r="AD1826" s="9">
        <f t="shared" si="131"/>
        <v>0</v>
      </c>
    </row>
    <row r="1827" spans="3:30" x14ac:dyDescent="0.4">
      <c r="C1827" t="str">
        <f t="shared" si="128"/>
        <v/>
      </c>
      <c r="T1827" s="9">
        <f t="shared" si="129"/>
        <v>0</v>
      </c>
      <c r="Z1827" s="9">
        <f t="shared" si="130"/>
        <v>0</v>
      </c>
      <c r="AD1827" s="9">
        <f t="shared" si="131"/>
        <v>0</v>
      </c>
    </row>
    <row r="1828" spans="3:30" x14ac:dyDescent="0.4">
      <c r="C1828" t="str">
        <f t="shared" si="128"/>
        <v/>
      </c>
      <c r="T1828" s="9">
        <f t="shared" si="129"/>
        <v>0</v>
      </c>
      <c r="Z1828" s="9">
        <f t="shared" si="130"/>
        <v>0</v>
      </c>
      <c r="AD1828" s="9">
        <f t="shared" si="131"/>
        <v>0</v>
      </c>
    </row>
    <row r="1829" spans="3:30" x14ac:dyDescent="0.4">
      <c r="C1829" t="str">
        <f t="shared" si="128"/>
        <v/>
      </c>
      <c r="T1829" s="9">
        <f t="shared" si="129"/>
        <v>0</v>
      </c>
      <c r="Z1829" s="9">
        <f t="shared" si="130"/>
        <v>0</v>
      </c>
      <c r="AD1829" s="9">
        <f t="shared" si="131"/>
        <v>0</v>
      </c>
    </row>
    <row r="1830" spans="3:30" x14ac:dyDescent="0.4">
      <c r="C1830" t="str">
        <f t="shared" si="128"/>
        <v/>
      </c>
      <c r="T1830" s="9">
        <f t="shared" si="129"/>
        <v>0</v>
      </c>
      <c r="Z1830" s="9">
        <f t="shared" si="130"/>
        <v>0</v>
      </c>
      <c r="AD1830" s="9">
        <f t="shared" si="131"/>
        <v>0</v>
      </c>
    </row>
    <row r="1831" spans="3:30" x14ac:dyDescent="0.4">
      <c r="C1831" t="str">
        <f t="shared" si="128"/>
        <v/>
      </c>
      <c r="T1831" s="9">
        <f t="shared" si="129"/>
        <v>0</v>
      </c>
      <c r="Z1831" s="9">
        <f t="shared" si="130"/>
        <v>0</v>
      </c>
      <c r="AD1831" s="9">
        <f t="shared" si="131"/>
        <v>0</v>
      </c>
    </row>
    <row r="1832" spans="3:30" x14ac:dyDescent="0.4">
      <c r="C1832" t="str">
        <f t="shared" si="128"/>
        <v/>
      </c>
      <c r="T1832" s="9">
        <f t="shared" si="129"/>
        <v>0</v>
      </c>
      <c r="Z1832" s="9">
        <f t="shared" si="130"/>
        <v>0</v>
      </c>
      <c r="AD1832" s="9">
        <f t="shared" si="131"/>
        <v>0</v>
      </c>
    </row>
    <row r="1833" spans="3:30" x14ac:dyDescent="0.4">
      <c r="C1833" t="str">
        <f t="shared" si="128"/>
        <v/>
      </c>
      <c r="T1833" s="9">
        <f t="shared" si="129"/>
        <v>0</v>
      </c>
      <c r="Z1833" s="9">
        <f t="shared" si="130"/>
        <v>0</v>
      </c>
      <c r="AD1833" s="9">
        <f t="shared" si="131"/>
        <v>0</v>
      </c>
    </row>
    <row r="1834" spans="3:30" x14ac:dyDescent="0.4">
      <c r="C1834" t="str">
        <f t="shared" si="128"/>
        <v/>
      </c>
      <c r="T1834" s="9">
        <f t="shared" si="129"/>
        <v>0</v>
      </c>
      <c r="Z1834" s="9">
        <f t="shared" si="130"/>
        <v>0</v>
      </c>
      <c r="AD1834" s="9">
        <f t="shared" si="131"/>
        <v>0</v>
      </c>
    </row>
    <row r="1835" spans="3:30" x14ac:dyDescent="0.4">
      <c r="C1835" t="str">
        <f t="shared" si="128"/>
        <v/>
      </c>
      <c r="T1835" s="9">
        <f t="shared" si="129"/>
        <v>0</v>
      </c>
      <c r="Z1835" s="9">
        <f t="shared" si="130"/>
        <v>0</v>
      </c>
      <c r="AD1835" s="9">
        <f t="shared" si="131"/>
        <v>0</v>
      </c>
    </row>
    <row r="1836" spans="3:30" x14ac:dyDescent="0.4">
      <c r="C1836" t="str">
        <f t="shared" si="128"/>
        <v/>
      </c>
      <c r="T1836" s="9">
        <f t="shared" si="129"/>
        <v>0</v>
      </c>
      <c r="Z1836" s="9">
        <f t="shared" si="130"/>
        <v>0</v>
      </c>
      <c r="AD1836" s="9">
        <f t="shared" si="131"/>
        <v>0</v>
      </c>
    </row>
    <row r="1837" spans="3:30" x14ac:dyDescent="0.4">
      <c r="C1837" t="str">
        <f t="shared" si="128"/>
        <v/>
      </c>
      <c r="T1837" s="9">
        <f t="shared" si="129"/>
        <v>0</v>
      </c>
      <c r="Z1837" s="9">
        <f t="shared" si="130"/>
        <v>0</v>
      </c>
      <c r="AD1837" s="9">
        <f t="shared" si="131"/>
        <v>0</v>
      </c>
    </row>
    <row r="1838" spans="3:30" x14ac:dyDescent="0.4">
      <c r="C1838" t="str">
        <f t="shared" si="128"/>
        <v/>
      </c>
      <c r="T1838" s="9">
        <f t="shared" si="129"/>
        <v>0</v>
      </c>
      <c r="Z1838" s="9">
        <f t="shared" si="130"/>
        <v>0</v>
      </c>
      <c r="AD1838" s="9">
        <f t="shared" si="131"/>
        <v>0</v>
      </c>
    </row>
    <row r="1839" spans="3:30" x14ac:dyDescent="0.4">
      <c r="C1839" t="str">
        <f t="shared" si="128"/>
        <v/>
      </c>
      <c r="T1839" s="9">
        <f t="shared" si="129"/>
        <v>0</v>
      </c>
      <c r="Z1839" s="9">
        <f t="shared" si="130"/>
        <v>0</v>
      </c>
      <c r="AD1839" s="9">
        <f t="shared" si="131"/>
        <v>0</v>
      </c>
    </row>
    <row r="1840" spans="3:30" x14ac:dyDescent="0.4">
      <c r="C1840" t="str">
        <f t="shared" si="128"/>
        <v/>
      </c>
      <c r="T1840" s="9">
        <f t="shared" si="129"/>
        <v>0</v>
      </c>
      <c r="Z1840" s="9">
        <f t="shared" si="130"/>
        <v>0</v>
      </c>
      <c r="AD1840" s="9">
        <f t="shared" si="131"/>
        <v>0</v>
      </c>
    </row>
    <row r="1841" spans="3:30" x14ac:dyDescent="0.4">
      <c r="C1841" t="str">
        <f t="shared" si="128"/>
        <v/>
      </c>
      <c r="T1841" s="9">
        <f t="shared" si="129"/>
        <v>0</v>
      </c>
      <c r="Z1841" s="9">
        <f t="shared" si="130"/>
        <v>0</v>
      </c>
      <c r="AD1841" s="9">
        <f t="shared" si="131"/>
        <v>0</v>
      </c>
    </row>
    <row r="1842" spans="3:30" x14ac:dyDescent="0.4">
      <c r="C1842" t="str">
        <f t="shared" si="128"/>
        <v/>
      </c>
      <c r="T1842" s="9">
        <f t="shared" si="129"/>
        <v>0</v>
      </c>
      <c r="Z1842" s="9">
        <f t="shared" si="130"/>
        <v>0</v>
      </c>
      <c r="AD1842" s="9">
        <f t="shared" si="131"/>
        <v>0</v>
      </c>
    </row>
    <row r="1843" spans="3:30" x14ac:dyDescent="0.4">
      <c r="C1843" t="str">
        <f t="shared" si="128"/>
        <v/>
      </c>
      <c r="T1843" s="9">
        <f t="shared" si="129"/>
        <v>0</v>
      </c>
      <c r="Z1843" s="9">
        <f t="shared" si="130"/>
        <v>0</v>
      </c>
      <c r="AD1843" s="9">
        <f t="shared" si="131"/>
        <v>0</v>
      </c>
    </row>
    <row r="1844" spans="3:30" x14ac:dyDescent="0.4">
      <c r="C1844" t="str">
        <f t="shared" si="128"/>
        <v/>
      </c>
      <c r="T1844" s="9">
        <f t="shared" si="129"/>
        <v>0</v>
      </c>
      <c r="Z1844" s="9">
        <f t="shared" si="130"/>
        <v>0</v>
      </c>
      <c r="AD1844" s="9">
        <f t="shared" si="131"/>
        <v>0</v>
      </c>
    </row>
    <row r="1845" spans="3:30" x14ac:dyDescent="0.4">
      <c r="C1845" t="str">
        <f t="shared" si="128"/>
        <v/>
      </c>
      <c r="T1845" s="9">
        <f t="shared" si="129"/>
        <v>0</v>
      </c>
      <c r="Z1845" s="9">
        <f t="shared" si="130"/>
        <v>0</v>
      </c>
      <c r="AD1845" s="9">
        <f t="shared" si="131"/>
        <v>0</v>
      </c>
    </row>
    <row r="1846" spans="3:30" x14ac:dyDescent="0.4">
      <c r="C1846" t="str">
        <f t="shared" si="128"/>
        <v/>
      </c>
      <c r="T1846" s="9">
        <f t="shared" si="129"/>
        <v>0</v>
      </c>
      <c r="Z1846" s="9">
        <f t="shared" si="130"/>
        <v>0</v>
      </c>
      <c r="AD1846" s="9">
        <f t="shared" si="131"/>
        <v>0</v>
      </c>
    </row>
    <row r="1847" spans="3:30" x14ac:dyDescent="0.4">
      <c r="C1847" t="str">
        <f t="shared" si="128"/>
        <v/>
      </c>
      <c r="T1847" s="9">
        <f t="shared" si="129"/>
        <v>0</v>
      </c>
      <c r="Z1847" s="9">
        <f t="shared" si="130"/>
        <v>0</v>
      </c>
      <c r="AD1847" s="9">
        <f t="shared" si="131"/>
        <v>0</v>
      </c>
    </row>
    <row r="1848" spans="3:30" x14ac:dyDescent="0.4">
      <c r="C1848" t="str">
        <f t="shared" si="128"/>
        <v/>
      </c>
      <c r="T1848" s="9">
        <f t="shared" si="129"/>
        <v>0</v>
      </c>
      <c r="Z1848" s="9">
        <f t="shared" si="130"/>
        <v>0</v>
      </c>
      <c r="AD1848" s="9">
        <f t="shared" si="131"/>
        <v>0</v>
      </c>
    </row>
    <row r="1849" spans="3:30" x14ac:dyDescent="0.4">
      <c r="C1849" t="str">
        <f t="shared" si="128"/>
        <v/>
      </c>
      <c r="T1849" s="9">
        <f t="shared" si="129"/>
        <v>0</v>
      </c>
      <c r="Z1849" s="9">
        <f t="shared" si="130"/>
        <v>0</v>
      </c>
      <c r="AD1849" s="9">
        <f t="shared" si="131"/>
        <v>0</v>
      </c>
    </row>
    <row r="1850" spans="3:30" x14ac:dyDescent="0.4">
      <c r="C1850" t="str">
        <f t="shared" si="128"/>
        <v/>
      </c>
      <c r="T1850" s="9">
        <f t="shared" si="129"/>
        <v>0</v>
      </c>
      <c r="Z1850" s="9">
        <f t="shared" si="130"/>
        <v>0</v>
      </c>
      <c r="AD1850" s="9">
        <f t="shared" si="131"/>
        <v>0</v>
      </c>
    </row>
    <row r="1851" spans="3:30" x14ac:dyDescent="0.4">
      <c r="C1851" t="str">
        <f t="shared" si="128"/>
        <v/>
      </c>
      <c r="T1851" s="9">
        <f t="shared" si="129"/>
        <v>0</v>
      </c>
      <c r="Z1851" s="9">
        <f t="shared" si="130"/>
        <v>0</v>
      </c>
      <c r="AD1851" s="9">
        <f t="shared" si="131"/>
        <v>0</v>
      </c>
    </row>
    <row r="1852" spans="3:30" x14ac:dyDescent="0.4">
      <c r="C1852" t="str">
        <f t="shared" si="128"/>
        <v/>
      </c>
      <c r="T1852" s="9">
        <f t="shared" si="129"/>
        <v>0</v>
      </c>
      <c r="Z1852" s="9">
        <f t="shared" si="130"/>
        <v>0</v>
      </c>
      <c r="AD1852" s="9">
        <f t="shared" si="131"/>
        <v>0</v>
      </c>
    </row>
    <row r="1853" spans="3:30" x14ac:dyDescent="0.4">
      <c r="C1853" t="str">
        <f t="shared" si="128"/>
        <v/>
      </c>
      <c r="T1853" s="9">
        <f t="shared" si="129"/>
        <v>0</v>
      </c>
      <c r="Z1853" s="9">
        <f t="shared" si="130"/>
        <v>0</v>
      </c>
      <c r="AD1853" s="9">
        <f t="shared" si="131"/>
        <v>0</v>
      </c>
    </row>
    <row r="1854" spans="3:30" x14ac:dyDescent="0.4">
      <c r="C1854" t="str">
        <f t="shared" si="128"/>
        <v/>
      </c>
      <c r="T1854" s="9">
        <f t="shared" si="129"/>
        <v>0</v>
      </c>
      <c r="Z1854" s="9">
        <f t="shared" si="130"/>
        <v>0</v>
      </c>
      <c r="AD1854" s="9">
        <f t="shared" si="131"/>
        <v>0</v>
      </c>
    </row>
    <row r="1855" spans="3:30" x14ac:dyDescent="0.4">
      <c r="C1855" t="str">
        <f t="shared" si="128"/>
        <v/>
      </c>
      <c r="T1855" s="9">
        <f t="shared" si="129"/>
        <v>0</v>
      </c>
      <c r="Z1855" s="9">
        <f t="shared" si="130"/>
        <v>0</v>
      </c>
      <c r="AD1855" s="9">
        <f t="shared" si="131"/>
        <v>0</v>
      </c>
    </row>
    <row r="1856" spans="3:30" x14ac:dyDescent="0.4">
      <c r="C1856" t="str">
        <f t="shared" si="128"/>
        <v/>
      </c>
      <c r="T1856" s="9">
        <f t="shared" si="129"/>
        <v>0</v>
      </c>
      <c r="Z1856" s="9">
        <f t="shared" si="130"/>
        <v>0</v>
      </c>
      <c r="AD1856" s="9">
        <f t="shared" si="131"/>
        <v>0</v>
      </c>
    </row>
    <row r="1857" spans="3:30" x14ac:dyDescent="0.4">
      <c r="C1857" t="str">
        <f t="shared" si="128"/>
        <v/>
      </c>
      <c r="T1857" s="9">
        <f t="shared" si="129"/>
        <v>0</v>
      </c>
      <c r="Z1857" s="9">
        <f t="shared" si="130"/>
        <v>0</v>
      </c>
      <c r="AD1857" s="9">
        <f t="shared" si="131"/>
        <v>0</v>
      </c>
    </row>
    <row r="1858" spans="3:30" x14ac:dyDescent="0.4">
      <c r="C1858" t="str">
        <f t="shared" si="128"/>
        <v/>
      </c>
      <c r="T1858" s="9">
        <f t="shared" si="129"/>
        <v>0</v>
      </c>
      <c r="Z1858" s="9">
        <f t="shared" si="130"/>
        <v>0</v>
      </c>
      <c r="AD1858" s="9">
        <f t="shared" si="131"/>
        <v>0</v>
      </c>
    </row>
    <row r="1859" spans="3:30" x14ac:dyDescent="0.4">
      <c r="C1859" t="str">
        <f t="shared" ref="C1859:C1922" si="132">IF(A1859="","",$J$1&amp;"\"&amp;A1859)</f>
        <v/>
      </c>
      <c r="T1859" s="9">
        <f t="shared" si="129"/>
        <v>0</v>
      </c>
      <c r="Z1859" s="9">
        <f t="shared" si="130"/>
        <v>0</v>
      </c>
      <c r="AD1859" s="9">
        <f t="shared" si="131"/>
        <v>0</v>
      </c>
    </row>
    <row r="1860" spans="3:30" x14ac:dyDescent="0.4">
      <c r="C1860" t="str">
        <f t="shared" si="132"/>
        <v/>
      </c>
      <c r="T1860" s="9">
        <f t="shared" si="129"/>
        <v>0</v>
      </c>
      <c r="Z1860" s="9">
        <f t="shared" si="130"/>
        <v>0</v>
      </c>
      <c r="AD1860" s="9">
        <f t="shared" si="131"/>
        <v>0</v>
      </c>
    </row>
    <row r="1861" spans="3:30" x14ac:dyDescent="0.4">
      <c r="C1861" t="str">
        <f t="shared" si="132"/>
        <v/>
      </c>
      <c r="T1861" s="9">
        <f t="shared" si="129"/>
        <v>0</v>
      </c>
      <c r="Z1861" s="9">
        <f t="shared" si="130"/>
        <v>0</v>
      </c>
      <c r="AD1861" s="9">
        <f t="shared" si="131"/>
        <v>0</v>
      </c>
    </row>
    <row r="1862" spans="3:30" x14ac:dyDescent="0.4">
      <c r="C1862" t="str">
        <f t="shared" si="132"/>
        <v/>
      </c>
      <c r="T1862" s="9">
        <f t="shared" si="129"/>
        <v>0</v>
      </c>
      <c r="Z1862" s="9">
        <f t="shared" si="130"/>
        <v>0</v>
      </c>
      <c r="AD1862" s="9">
        <f t="shared" si="131"/>
        <v>0</v>
      </c>
    </row>
    <row r="1863" spans="3:30" x14ac:dyDescent="0.4">
      <c r="C1863" t="str">
        <f t="shared" si="132"/>
        <v/>
      </c>
      <c r="T1863" s="9">
        <f t="shared" si="129"/>
        <v>0</v>
      </c>
      <c r="Z1863" s="9">
        <f t="shared" si="130"/>
        <v>0</v>
      </c>
      <c r="AD1863" s="9">
        <f t="shared" si="131"/>
        <v>0</v>
      </c>
    </row>
    <row r="1864" spans="3:30" x14ac:dyDescent="0.4">
      <c r="C1864" t="str">
        <f t="shared" si="132"/>
        <v/>
      </c>
      <c r="T1864" s="9">
        <f t="shared" ref="T1864:T1927" si="133">(COUNTIFS(TH_TK,N1864,TH_DuNo,O1864,TH_DuNoNT,P1864,TH_DuCo,Q1864,TH_DuCoNT,R1864,TH_SoLuong,S1864)&gt;0)*1</f>
        <v>0</v>
      </c>
      <c r="Z1864" s="9">
        <f t="shared" ref="Z1864:Z1927" si="134">(COUNTIFS(NV,U1864,TK,V1864,TongNo,W1864,TongCo,X1864,SoLuong,Y1864)&gt;0)*1</f>
        <v>0</v>
      </c>
      <c r="AD1864" s="9">
        <f t="shared" ref="AD1864:AD1927" si="135">COUNTIFS(ReportType,AA1864,ItemCode,AB1864,Amount,AC1864)</f>
        <v>0</v>
      </c>
    </row>
    <row r="1865" spans="3:30" x14ac:dyDescent="0.4">
      <c r="C1865" t="str">
        <f t="shared" si="132"/>
        <v/>
      </c>
      <c r="T1865" s="9">
        <f t="shared" si="133"/>
        <v>0</v>
      </c>
      <c r="Z1865" s="9">
        <f t="shared" si="134"/>
        <v>0</v>
      </c>
      <c r="AD1865" s="9">
        <f t="shared" si="135"/>
        <v>0</v>
      </c>
    </row>
    <row r="1866" spans="3:30" x14ac:dyDescent="0.4">
      <c r="C1866" t="str">
        <f t="shared" si="132"/>
        <v/>
      </c>
      <c r="T1866" s="9">
        <f t="shared" si="133"/>
        <v>0</v>
      </c>
      <c r="Z1866" s="9">
        <f t="shared" si="134"/>
        <v>0</v>
      </c>
      <c r="AD1866" s="9">
        <f t="shared" si="135"/>
        <v>0</v>
      </c>
    </row>
    <row r="1867" spans="3:30" x14ac:dyDescent="0.4">
      <c r="C1867" t="str">
        <f t="shared" si="132"/>
        <v/>
      </c>
      <c r="T1867" s="9">
        <f t="shared" si="133"/>
        <v>0</v>
      </c>
      <c r="Z1867" s="9">
        <f t="shared" si="134"/>
        <v>0</v>
      </c>
      <c r="AD1867" s="9">
        <f t="shared" si="135"/>
        <v>0</v>
      </c>
    </row>
    <row r="1868" spans="3:30" x14ac:dyDescent="0.4">
      <c r="C1868" t="str">
        <f t="shared" si="132"/>
        <v/>
      </c>
      <c r="T1868" s="9">
        <f t="shared" si="133"/>
        <v>0</v>
      </c>
      <c r="Z1868" s="9">
        <f t="shared" si="134"/>
        <v>0</v>
      </c>
      <c r="AD1868" s="9">
        <f t="shared" si="135"/>
        <v>0</v>
      </c>
    </row>
    <row r="1869" spans="3:30" x14ac:dyDescent="0.4">
      <c r="C1869" t="str">
        <f t="shared" si="132"/>
        <v/>
      </c>
      <c r="T1869" s="9">
        <f t="shared" si="133"/>
        <v>0</v>
      </c>
      <c r="Z1869" s="9">
        <f t="shared" si="134"/>
        <v>0</v>
      </c>
      <c r="AD1869" s="9">
        <f t="shared" si="135"/>
        <v>0</v>
      </c>
    </row>
    <row r="1870" spans="3:30" x14ac:dyDescent="0.4">
      <c r="C1870" t="str">
        <f t="shared" si="132"/>
        <v/>
      </c>
      <c r="T1870" s="9">
        <f t="shared" si="133"/>
        <v>0</v>
      </c>
      <c r="Z1870" s="9">
        <f t="shared" si="134"/>
        <v>0</v>
      </c>
      <c r="AD1870" s="9">
        <f t="shared" si="135"/>
        <v>0</v>
      </c>
    </row>
    <row r="1871" spans="3:30" x14ac:dyDescent="0.4">
      <c r="C1871" t="str">
        <f t="shared" si="132"/>
        <v/>
      </c>
      <c r="T1871" s="9">
        <f t="shared" si="133"/>
        <v>0</v>
      </c>
      <c r="Z1871" s="9">
        <f t="shared" si="134"/>
        <v>0</v>
      </c>
      <c r="AD1871" s="9">
        <f t="shared" si="135"/>
        <v>0</v>
      </c>
    </row>
    <row r="1872" spans="3:30" x14ac:dyDescent="0.4">
      <c r="C1872" t="str">
        <f t="shared" si="132"/>
        <v/>
      </c>
      <c r="T1872" s="9">
        <f t="shared" si="133"/>
        <v>0</v>
      </c>
      <c r="Z1872" s="9">
        <f t="shared" si="134"/>
        <v>0</v>
      </c>
      <c r="AD1872" s="9">
        <f t="shared" si="135"/>
        <v>0</v>
      </c>
    </row>
    <row r="1873" spans="3:30" x14ac:dyDescent="0.4">
      <c r="C1873" t="str">
        <f t="shared" si="132"/>
        <v/>
      </c>
      <c r="T1873" s="9">
        <f t="shared" si="133"/>
        <v>0</v>
      </c>
      <c r="Z1873" s="9">
        <f t="shared" si="134"/>
        <v>0</v>
      </c>
      <c r="AD1873" s="9">
        <f t="shared" si="135"/>
        <v>0</v>
      </c>
    </row>
    <row r="1874" spans="3:30" x14ac:dyDescent="0.4">
      <c r="C1874" t="str">
        <f t="shared" si="132"/>
        <v/>
      </c>
      <c r="T1874" s="9">
        <f t="shared" si="133"/>
        <v>0</v>
      </c>
      <c r="Z1874" s="9">
        <f t="shared" si="134"/>
        <v>0</v>
      </c>
      <c r="AD1874" s="9">
        <f t="shared" si="135"/>
        <v>0</v>
      </c>
    </row>
    <row r="1875" spans="3:30" x14ac:dyDescent="0.4">
      <c r="C1875" t="str">
        <f t="shared" si="132"/>
        <v/>
      </c>
      <c r="T1875" s="9">
        <f t="shared" si="133"/>
        <v>0</v>
      </c>
      <c r="Z1875" s="9">
        <f t="shared" si="134"/>
        <v>0</v>
      </c>
      <c r="AD1875" s="9">
        <f t="shared" si="135"/>
        <v>0</v>
      </c>
    </row>
    <row r="1876" spans="3:30" x14ac:dyDescent="0.4">
      <c r="C1876" t="str">
        <f t="shared" si="132"/>
        <v/>
      </c>
      <c r="T1876" s="9">
        <f t="shared" si="133"/>
        <v>0</v>
      </c>
      <c r="Z1876" s="9">
        <f t="shared" si="134"/>
        <v>0</v>
      </c>
      <c r="AD1876" s="9">
        <f t="shared" si="135"/>
        <v>0</v>
      </c>
    </row>
    <row r="1877" spans="3:30" x14ac:dyDescent="0.4">
      <c r="C1877" t="str">
        <f t="shared" si="132"/>
        <v/>
      </c>
      <c r="T1877" s="9">
        <f t="shared" si="133"/>
        <v>0</v>
      </c>
      <c r="Z1877" s="9">
        <f t="shared" si="134"/>
        <v>0</v>
      </c>
      <c r="AD1877" s="9">
        <f t="shared" si="135"/>
        <v>0</v>
      </c>
    </row>
    <row r="1878" spans="3:30" x14ac:dyDescent="0.4">
      <c r="C1878" t="str">
        <f t="shared" si="132"/>
        <v/>
      </c>
      <c r="T1878" s="9">
        <f t="shared" si="133"/>
        <v>0</v>
      </c>
      <c r="Z1878" s="9">
        <f t="shared" si="134"/>
        <v>0</v>
      </c>
      <c r="AD1878" s="9">
        <f t="shared" si="135"/>
        <v>0</v>
      </c>
    </row>
    <row r="1879" spans="3:30" x14ac:dyDescent="0.4">
      <c r="C1879" t="str">
        <f t="shared" si="132"/>
        <v/>
      </c>
      <c r="T1879" s="9">
        <f t="shared" si="133"/>
        <v>0</v>
      </c>
      <c r="Z1879" s="9">
        <f t="shared" si="134"/>
        <v>0</v>
      </c>
      <c r="AD1879" s="9">
        <f t="shared" si="135"/>
        <v>0</v>
      </c>
    </row>
    <row r="1880" spans="3:30" x14ac:dyDescent="0.4">
      <c r="C1880" t="str">
        <f t="shared" si="132"/>
        <v/>
      </c>
      <c r="T1880" s="9">
        <f t="shared" si="133"/>
        <v>0</v>
      </c>
      <c r="Z1880" s="9">
        <f t="shared" si="134"/>
        <v>0</v>
      </c>
      <c r="AD1880" s="9">
        <f t="shared" si="135"/>
        <v>0</v>
      </c>
    </row>
    <row r="1881" spans="3:30" x14ac:dyDescent="0.4">
      <c r="C1881" t="str">
        <f t="shared" si="132"/>
        <v/>
      </c>
      <c r="T1881" s="9">
        <f t="shared" si="133"/>
        <v>0</v>
      </c>
      <c r="Z1881" s="9">
        <f t="shared" si="134"/>
        <v>0</v>
      </c>
      <c r="AD1881" s="9">
        <f t="shared" si="135"/>
        <v>0</v>
      </c>
    </row>
    <row r="1882" spans="3:30" x14ac:dyDescent="0.4">
      <c r="C1882" t="str">
        <f t="shared" si="132"/>
        <v/>
      </c>
      <c r="T1882" s="9">
        <f t="shared" si="133"/>
        <v>0</v>
      </c>
      <c r="Z1882" s="9">
        <f t="shared" si="134"/>
        <v>0</v>
      </c>
      <c r="AD1882" s="9">
        <f t="shared" si="135"/>
        <v>0</v>
      </c>
    </row>
    <row r="1883" spans="3:30" x14ac:dyDescent="0.4">
      <c r="C1883" t="str">
        <f t="shared" si="132"/>
        <v/>
      </c>
      <c r="T1883" s="9">
        <f t="shared" si="133"/>
        <v>0</v>
      </c>
      <c r="Z1883" s="9">
        <f t="shared" si="134"/>
        <v>0</v>
      </c>
      <c r="AD1883" s="9">
        <f t="shared" si="135"/>
        <v>0</v>
      </c>
    </row>
    <row r="1884" spans="3:30" x14ac:dyDescent="0.4">
      <c r="C1884" t="str">
        <f t="shared" si="132"/>
        <v/>
      </c>
      <c r="T1884" s="9">
        <f t="shared" si="133"/>
        <v>0</v>
      </c>
      <c r="Z1884" s="9">
        <f t="shared" si="134"/>
        <v>0</v>
      </c>
      <c r="AD1884" s="9">
        <f t="shared" si="135"/>
        <v>0</v>
      </c>
    </row>
    <row r="1885" spans="3:30" x14ac:dyDescent="0.4">
      <c r="C1885" t="str">
        <f t="shared" si="132"/>
        <v/>
      </c>
      <c r="T1885" s="9">
        <f t="shared" si="133"/>
        <v>0</v>
      </c>
      <c r="Z1885" s="9">
        <f t="shared" si="134"/>
        <v>0</v>
      </c>
      <c r="AD1885" s="9">
        <f t="shared" si="135"/>
        <v>0</v>
      </c>
    </row>
    <row r="1886" spans="3:30" x14ac:dyDescent="0.4">
      <c r="C1886" t="str">
        <f t="shared" si="132"/>
        <v/>
      </c>
      <c r="T1886" s="9">
        <f t="shared" si="133"/>
        <v>0</v>
      </c>
      <c r="Z1886" s="9">
        <f t="shared" si="134"/>
        <v>0</v>
      </c>
      <c r="AD1886" s="9">
        <f t="shared" si="135"/>
        <v>0</v>
      </c>
    </row>
    <row r="1887" spans="3:30" x14ac:dyDescent="0.4">
      <c r="C1887" t="str">
        <f t="shared" si="132"/>
        <v/>
      </c>
      <c r="T1887" s="9">
        <f t="shared" si="133"/>
        <v>0</v>
      </c>
      <c r="Z1887" s="9">
        <f t="shared" si="134"/>
        <v>0</v>
      </c>
      <c r="AD1887" s="9">
        <f t="shared" si="135"/>
        <v>0</v>
      </c>
    </row>
    <row r="1888" spans="3:30" x14ac:dyDescent="0.4">
      <c r="C1888" t="str">
        <f t="shared" si="132"/>
        <v/>
      </c>
      <c r="T1888" s="9">
        <f t="shared" si="133"/>
        <v>0</v>
      </c>
      <c r="Z1888" s="9">
        <f t="shared" si="134"/>
        <v>0</v>
      </c>
      <c r="AD1888" s="9">
        <f t="shared" si="135"/>
        <v>0</v>
      </c>
    </row>
    <row r="1889" spans="3:30" x14ac:dyDescent="0.4">
      <c r="C1889" t="str">
        <f t="shared" si="132"/>
        <v/>
      </c>
      <c r="T1889" s="9">
        <f t="shared" si="133"/>
        <v>0</v>
      </c>
      <c r="Z1889" s="9">
        <f t="shared" si="134"/>
        <v>0</v>
      </c>
      <c r="AD1889" s="9">
        <f t="shared" si="135"/>
        <v>0</v>
      </c>
    </row>
    <row r="1890" spans="3:30" x14ac:dyDescent="0.4">
      <c r="C1890" t="str">
        <f t="shared" si="132"/>
        <v/>
      </c>
      <c r="T1890" s="9">
        <f t="shared" si="133"/>
        <v>0</v>
      </c>
      <c r="Z1890" s="9">
        <f t="shared" si="134"/>
        <v>0</v>
      </c>
      <c r="AD1890" s="9">
        <f t="shared" si="135"/>
        <v>0</v>
      </c>
    </row>
    <row r="1891" spans="3:30" x14ac:dyDescent="0.4">
      <c r="C1891" t="str">
        <f t="shared" si="132"/>
        <v/>
      </c>
      <c r="T1891" s="9">
        <f t="shared" si="133"/>
        <v>0</v>
      </c>
      <c r="Z1891" s="9">
        <f t="shared" si="134"/>
        <v>0</v>
      </c>
      <c r="AD1891" s="9">
        <f t="shared" si="135"/>
        <v>0</v>
      </c>
    </row>
    <row r="1892" spans="3:30" x14ac:dyDescent="0.4">
      <c r="C1892" t="str">
        <f t="shared" si="132"/>
        <v/>
      </c>
      <c r="T1892" s="9">
        <f t="shared" si="133"/>
        <v>0</v>
      </c>
      <c r="Z1892" s="9">
        <f t="shared" si="134"/>
        <v>0</v>
      </c>
      <c r="AD1892" s="9">
        <f t="shared" si="135"/>
        <v>0</v>
      </c>
    </row>
    <row r="1893" spans="3:30" x14ac:dyDescent="0.4">
      <c r="C1893" t="str">
        <f t="shared" si="132"/>
        <v/>
      </c>
      <c r="T1893" s="9">
        <f t="shared" si="133"/>
        <v>0</v>
      </c>
      <c r="Z1893" s="9">
        <f t="shared" si="134"/>
        <v>0</v>
      </c>
      <c r="AD1893" s="9">
        <f t="shared" si="135"/>
        <v>0</v>
      </c>
    </row>
    <row r="1894" spans="3:30" x14ac:dyDescent="0.4">
      <c r="C1894" t="str">
        <f t="shared" si="132"/>
        <v/>
      </c>
      <c r="T1894" s="9">
        <f t="shared" si="133"/>
        <v>0</v>
      </c>
      <c r="Z1894" s="9">
        <f t="shared" si="134"/>
        <v>0</v>
      </c>
      <c r="AD1894" s="9">
        <f t="shared" si="135"/>
        <v>0</v>
      </c>
    </row>
    <row r="1895" spans="3:30" x14ac:dyDescent="0.4">
      <c r="C1895" t="str">
        <f t="shared" si="132"/>
        <v/>
      </c>
      <c r="T1895" s="9">
        <f t="shared" si="133"/>
        <v>0</v>
      </c>
      <c r="Z1895" s="9">
        <f t="shared" si="134"/>
        <v>0</v>
      </c>
      <c r="AD1895" s="9">
        <f t="shared" si="135"/>
        <v>0</v>
      </c>
    </row>
    <row r="1896" spans="3:30" x14ac:dyDescent="0.4">
      <c r="C1896" t="str">
        <f t="shared" si="132"/>
        <v/>
      </c>
      <c r="T1896" s="9">
        <f t="shared" si="133"/>
        <v>0</v>
      </c>
      <c r="Z1896" s="9">
        <f t="shared" si="134"/>
        <v>0</v>
      </c>
      <c r="AD1896" s="9">
        <f t="shared" si="135"/>
        <v>0</v>
      </c>
    </row>
    <row r="1897" spans="3:30" x14ac:dyDescent="0.4">
      <c r="C1897" t="str">
        <f t="shared" si="132"/>
        <v/>
      </c>
      <c r="T1897" s="9">
        <f t="shared" si="133"/>
        <v>0</v>
      </c>
      <c r="Z1897" s="9">
        <f t="shared" si="134"/>
        <v>0</v>
      </c>
      <c r="AD1897" s="9">
        <f t="shared" si="135"/>
        <v>0</v>
      </c>
    </row>
    <row r="1898" spans="3:30" x14ac:dyDescent="0.4">
      <c r="C1898" t="str">
        <f t="shared" si="132"/>
        <v/>
      </c>
      <c r="T1898" s="9">
        <f t="shared" si="133"/>
        <v>0</v>
      </c>
      <c r="Z1898" s="9">
        <f t="shared" si="134"/>
        <v>0</v>
      </c>
      <c r="AD1898" s="9">
        <f t="shared" si="135"/>
        <v>0</v>
      </c>
    </row>
    <row r="1899" spans="3:30" x14ac:dyDescent="0.4">
      <c r="C1899" t="str">
        <f t="shared" si="132"/>
        <v/>
      </c>
      <c r="T1899" s="9">
        <f t="shared" si="133"/>
        <v>0</v>
      </c>
      <c r="Z1899" s="9">
        <f t="shared" si="134"/>
        <v>0</v>
      </c>
      <c r="AD1899" s="9">
        <f t="shared" si="135"/>
        <v>0</v>
      </c>
    </row>
    <row r="1900" spans="3:30" x14ac:dyDescent="0.4">
      <c r="C1900" t="str">
        <f t="shared" si="132"/>
        <v/>
      </c>
      <c r="T1900" s="9">
        <f t="shared" si="133"/>
        <v>0</v>
      </c>
      <c r="Z1900" s="9">
        <f t="shared" si="134"/>
        <v>0</v>
      </c>
      <c r="AD1900" s="9">
        <f t="shared" si="135"/>
        <v>0</v>
      </c>
    </row>
    <row r="1901" spans="3:30" x14ac:dyDescent="0.4">
      <c r="C1901" t="str">
        <f t="shared" si="132"/>
        <v/>
      </c>
      <c r="T1901" s="9">
        <f t="shared" si="133"/>
        <v>0</v>
      </c>
      <c r="Z1901" s="9">
        <f t="shared" si="134"/>
        <v>0</v>
      </c>
      <c r="AD1901" s="9">
        <f t="shared" si="135"/>
        <v>0</v>
      </c>
    </row>
    <row r="1902" spans="3:30" x14ac:dyDescent="0.4">
      <c r="C1902" t="str">
        <f t="shared" si="132"/>
        <v/>
      </c>
      <c r="T1902" s="9">
        <f t="shared" si="133"/>
        <v>0</v>
      </c>
      <c r="Z1902" s="9">
        <f t="shared" si="134"/>
        <v>0</v>
      </c>
      <c r="AD1902" s="9">
        <f t="shared" si="135"/>
        <v>0</v>
      </c>
    </row>
    <row r="1903" spans="3:30" x14ac:dyDescent="0.4">
      <c r="C1903" t="str">
        <f t="shared" si="132"/>
        <v/>
      </c>
      <c r="T1903" s="9">
        <f t="shared" si="133"/>
        <v>0</v>
      </c>
      <c r="Z1903" s="9">
        <f t="shared" si="134"/>
        <v>0</v>
      </c>
      <c r="AD1903" s="9">
        <f t="shared" si="135"/>
        <v>0</v>
      </c>
    </row>
    <row r="1904" spans="3:30" x14ac:dyDescent="0.4">
      <c r="C1904" t="str">
        <f t="shared" si="132"/>
        <v/>
      </c>
      <c r="T1904" s="9">
        <f t="shared" si="133"/>
        <v>0</v>
      </c>
      <c r="Z1904" s="9">
        <f t="shared" si="134"/>
        <v>0</v>
      </c>
      <c r="AD1904" s="9">
        <f t="shared" si="135"/>
        <v>0</v>
      </c>
    </row>
    <row r="1905" spans="3:30" x14ac:dyDescent="0.4">
      <c r="C1905" t="str">
        <f t="shared" si="132"/>
        <v/>
      </c>
      <c r="T1905" s="9">
        <f t="shared" si="133"/>
        <v>0</v>
      </c>
      <c r="Z1905" s="9">
        <f t="shared" si="134"/>
        <v>0</v>
      </c>
      <c r="AD1905" s="9">
        <f t="shared" si="135"/>
        <v>0</v>
      </c>
    </row>
    <row r="1906" spans="3:30" x14ac:dyDescent="0.4">
      <c r="C1906" t="str">
        <f t="shared" si="132"/>
        <v/>
      </c>
      <c r="T1906" s="9">
        <f t="shared" si="133"/>
        <v>0</v>
      </c>
      <c r="Z1906" s="9">
        <f t="shared" si="134"/>
        <v>0</v>
      </c>
      <c r="AD1906" s="9">
        <f t="shared" si="135"/>
        <v>0</v>
      </c>
    </row>
    <row r="1907" spans="3:30" x14ac:dyDescent="0.4">
      <c r="C1907" t="str">
        <f t="shared" si="132"/>
        <v/>
      </c>
      <c r="T1907" s="9">
        <f t="shared" si="133"/>
        <v>0</v>
      </c>
      <c r="Z1907" s="9">
        <f t="shared" si="134"/>
        <v>0</v>
      </c>
      <c r="AD1907" s="9">
        <f t="shared" si="135"/>
        <v>0</v>
      </c>
    </row>
    <row r="1908" spans="3:30" x14ac:dyDescent="0.4">
      <c r="C1908" t="str">
        <f t="shared" si="132"/>
        <v/>
      </c>
      <c r="T1908" s="9">
        <f t="shared" si="133"/>
        <v>0</v>
      </c>
      <c r="Z1908" s="9">
        <f t="shared" si="134"/>
        <v>0</v>
      </c>
      <c r="AD1908" s="9">
        <f t="shared" si="135"/>
        <v>0</v>
      </c>
    </row>
    <row r="1909" spans="3:30" x14ac:dyDescent="0.4">
      <c r="C1909" t="str">
        <f t="shared" si="132"/>
        <v/>
      </c>
      <c r="T1909" s="9">
        <f t="shared" si="133"/>
        <v>0</v>
      </c>
      <c r="Z1909" s="9">
        <f t="shared" si="134"/>
        <v>0</v>
      </c>
      <c r="AD1909" s="9">
        <f t="shared" si="135"/>
        <v>0</v>
      </c>
    </row>
    <row r="1910" spans="3:30" x14ac:dyDescent="0.4">
      <c r="C1910" t="str">
        <f t="shared" si="132"/>
        <v/>
      </c>
      <c r="T1910" s="9">
        <f t="shared" si="133"/>
        <v>0</v>
      </c>
      <c r="Z1910" s="9">
        <f t="shared" si="134"/>
        <v>0</v>
      </c>
      <c r="AD1910" s="9">
        <f t="shared" si="135"/>
        <v>0</v>
      </c>
    </row>
    <row r="1911" spans="3:30" x14ac:dyDescent="0.4">
      <c r="C1911" t="str">
        <f t="shared" si="132"/>
        <v/>
      </c>
      <c r="T1911" s="9">
        <f t="shared" si="133"/>
        <v>0</v>
      </c>
      <c r="Z1911" s="9">
        <f t="shared" si="134"/>
        <v>0</v>
      </c>
      <c r="AD1911" s="9">
        <f t="shared" si="135"/>
        <v>0</v>
      </c>
    </row>
    <row r="1912" spans="3:30" x14ac:dyDescent="0.4">
      <c r="C1912" t="str">
        <f t="shared" si="132"/>
        <v/>
      </c>
      <c r="T1912" s="9">
        <f t="shared" si="133"/>
        <v>0</v>
      </c>
      <c r="Z1912" s="9">
        <f t="shared" si="134"/>
        <v>0</v>
      </c>
      <c r="AD1912" s="9">
        <f t="shared" si="135"/>
        <v>0</v>
      </c>
    </row>
    <row r="1913" spans="3:30" x14ac:dyDescent="0.4">
      <c r="C1913" t="str">
        <f t="shared" si="132"/>
        <v/>
      </c>
      <c r="T1913" s="9">
        <f t="shared" si="133"/>
        <v>0</v>
      </c>
      <c r="Z1913" s="9">
        <f t="shared" si="134"/>
        <v>0</v>
      </c>
      <c r="AD1913" s="9">
        <f t="shared" si="135"/>
        <v>0</v>
      </c>
    </row>
    <row r="1914" spans="3:30" x14ac:dyDescent="0.4">
      <c r="C1914" t="str">
        <f t="shared" si="132"/>
        <v/>
      </c>
      <c r="T1914" s="9">
        <f t="shared" si="133"/>
        <v>0</v>
      </c>
      <c r="Z1914" s="9">
        <f t="shared" si="134"/>
        <v>0</v>
      </c>
      <c r="AD1914" s="9">
        <f t="shared" si="135"/>
        <v>0</v>
      </c>
    </row>
    <row r="1915" spans="3:30" x14ac:dyDescent="0.4">
      <c r="C1915" t="str">
        <f t="shared" si="132"/>
        <v/>
      </c>
      <c r="T1915" s="9">
        <f t="shared" si="133"/>
        <v>0</v>
      </c>
      <c r="Z1915" s="9">
        <f t="shared" si="134"/>
        <v>0</v>
      </c>
      <c r="AD1915" s="9">
        <f t="shared" si="135"/>
        <v>0</v>
      </c>
    </row>
    <row r="1916" spans="3:30" x14ac:dyDescent="0.4">
      <c r="C1916" t="str">
        <f t="shared" si="132"/>
        <v/>
      </c>
      <c r="T1916" s="9">
        <f t="shared" si="133"/>
        <v>0</v>
      </c>
      <c r="Z1916" s="9">
        <f t="shared" si="134"/>
        <v>0</v>
      </c>
      <c r="AD1916" s="9">
        <f t="shared" si="135"/>
        <v>0</v>
      </c>
    </row>
    <row r="1917" spans="3:30" x14ac:dyDescent="0.4">
      <c r="C1917" t="str">
        <f t="shared" si="132"/>
        <v/>
      </c>
      <c r="T1917" s="9">
        <f t="shared" si="133"/>
        <v>0</v>
      </c>
      <c r="Z1917" s="9">
        <f t="shared" si="134"/>
        <v>0</v>
      </c>
      <c r="AD1917" s="9">
        <f t="shared" si="135"/>
        <v>0</v>
      </c>
    </row>
    <row r="1918" spans="3:30" x14ac:dyDescent="0.4">
      <c r="C1918" t="str">
        <f t="shared" si="132"/>
        <v/>
      </c>
      <c r="T1918" s="9">
        <f t="shared" si="133"/>
        <v>0</v>
      </c>
      <c r="Z1918" s="9">
        <f t="shared" si="134"/>
        <v>0</v>
      </c>
      <c r="AD1918" s="9">
        <f t="shared" si="135"/>
        <v>0</v>
      </c>
    </row>
    <row r="1919" spans="3:30" x14ac:dyDescent="0.4">
      <c r="C1919" t="str">
        <f t="shared" si="132"/>
        <v/>
      </c>
      <c r="T1919" s="9">
        <f t="shared" si="133"/>
        <v>0</v>
      </c>
      <c r="Z1919" s="9">
        <f t="shared" si="134"/>
        <v>0</v>
      </c>
      <c r="AD1919" s="9">
        <f t="shared" si="135"/>
        <v>0</v>
      </c>
    </row>
    <row r="1920" spans="3:30" x14ac:dyDescent="0.4">
      <c r="C1920" t="str">
        <f t="shared" si="132"/>
        <v/>
      </c>
      <c r="T1920" s="9">
        <f t="shared" si="133"/>
        <v>0</v>
      </c>
      <c r="Z1920" s="9">
        <f t="shared" si="134"/>
        <v>0</v>
      </c>
      <c r="AD1920" s="9">
        <f t="shared" si="135"/>
        <v>0</v>
      </c>
    </row>
    <row r="1921" spans="3:30" x14ac:dyDescent="0.4">
      <c r="C1921" t="str">
        <f t="shared" si="132"/>
        <v/>
      </c>
      <c r="T1921" s="9">
        <f t="shared" si="133"/>
        <v>0</v>
      </c>
      <c r="Z1921" s="9">
        <f t="shared" si="134"/>
        <v>0</v>
      </c>
      <c r="AD1921" s="9">
        <f t="shared" si="135"/>
        <v>0</v>
      </c>
    </row>
    <row r="1922" spans="3:30" x14ac:dyDescent="0.4">
      <c r="C1922" t="str">
        <f t="shared" si="132"/>
        <v/>
      </c>
      <c r="T1922" s="9">
        <f t="shared" si="133"/>
        <v>0</v>
      </c>
      <c r="Z1922" s="9">
        <f t="shared" si="134"/>
        <v>0</v>
      </c>
      <c r="AD1922" s="9">
        <f t="shared" si="135"/>
        <v>0</v>
      </c>
    </row>
    <row r="1923" spans="3:30" x14ac:dyDescent="0.4">
      <c r="C1923" t="str">
        <f t="shared" ref="C1923:C1986" si="136">IF(A1923="","",$J$1&amp;"\"&amp;A1923)</f>
        <v/>
      </c>
      <c r="T1923" s="9">
        <f t="shared" si="133"/>
        <v>0</v>
      </c>
      <c r="Z1923" s="9">
        <f t="shared" si="134"/>
        <v>0</v>
      </c>
      <c r="AD1923" s="9">
        <f t="shared" si="135"/>
        <v>0</v>
      </c>
    </row>
    <row r="1924" spans="3:30" x14ac:dyDescent="0.4">
      <c r="C1924" t="str">
        <f t="shared" si="136"/>
        <v/>
      </c>
      <c r="T1924" s="9">
        <f t="shared" si="133"/>
        <v>0</v>
      </c>
      <c r="Z1924" s="9">
        <f t="shared" si="134"/>
        <v>0</v>
      </c>
      <c r="AD1924" s="9">
        <f t="shared" si="135"/>
        <v>0</v>
      </c>
    </row>
    <row r="1925" spans="3:30" x14ac:dyDescent="0.4">
      <c r="C1925" t="str">
        <f t="shared" si="136"/>
        <v/>
      </c>
      <c r="T1925" s="9">
        <f t="shared" si="133"/>
        <v>0</v>
      </c>
      <c r="Z1925" s="9">
        <f t="shared" si="134"/>
        <v>0</v>
      </c>
      <c r="AD1925" s="9">
        <f t="shared" si="135"/>
        <v>0</v>
      </c>
    </row>
    <row r="1926" spans="3:30" x14ac:dyDescent="0.4">
      <c r="C1926" t="str">
        <f t="shared" si="136"/>
        <v/>
      </c>
      <c r="T1926" s="9">
        <f t="shared" si="133"/>
        <v>0</v>
      </c>
      <c r="Z1926" s="9">
        <f t="shared" si="134"/>
        <v>0</v>
      </c>
      <c r="AD1926" s="9">
        <f t="shared" si="135"/>
        <v>0</v>
      </c>
    </row>
    <row r="1927" spans="3:30" x14ac:dyDescent="0.4">
      <c r="C1927" t="str">
        <f t="shared" si="136"/>
        <v/>
      </c>
      <c r="T1927" s="9">
        <f t="shared" si="133"/>
        <v>0</v>
      </c>
      <c r="Z1927" s="9">
        <f t="shared" si="134"/>
        <v>0</v>
      </c>
      <c r="AD1927" s="9">
        <f t="shared" si="135"/>
        <v>0</v>
      </c>
    </row>
    <row r="1928" spans="3:30" x14ac:dyDescent="0.4">
      <c r="C1928" t="str">
        <f t="shared" si="136"/>
        <v/>
      </c>
      <c r="T1928" s="9">
        <f t="shared" ref="T1928:T1991" si="137">(COUNTIFS(TH_TK,N1928,TH_DuNo,O1928,TH_DuNoNT,P1928,TH_DuCo,Q1928,TH_DuCoNT,R1928,TH_SoLuong,S1928)&gt;0)*1</f>
        <v>0</v>
      </c>
      <c r="Z1928" s="9">
        <f t="shared" ref="Z1928:Z1991" si="138">(COUNTIFS(NV,U1928,TK,V1928,TongNo,W1928,TongCo,X1928,SoLuong,Y1928)&gt;0)*1</f>
        <v>0</v>
      </c>
      <c r="AD1928" s="9">
        <f t="shared" ref="AD1928:AD1991" si="139">COUNTIFS(ReportType,AA1928,ItemCode,AB1928,Amount,AC1928)</f>
        <v>0</v>
      </c>
    </row>
    <row r="1929" spans="3:30" x14ac:dyDescent="0.4">
      <c r="C1929" t="str">
        <f t="shared" si="136"/>
        <v/>
      </c>
      <c r="T1929" s="9">
        <f t="shared" si="137"/>
        <v>0</v>
      </c>
      <c r="Z1929" s="9">
        <f t="shared" si="138"/>
        <v>0</v>
      </c>
      <c r="AD1929" s="9">
        <f t="shared" si="139"/>
        <v>0</v>
      </c>
    </row>
    <row r="1930" spans="3:30" x14ac:dyDescent="0.4">
      <c r="C1930" t="str">
        <f t="shared" si="136"/>
        <v/>
      </c>
      <c r="T1930" s="9">
        <f t="shared" si="137"/>
        <v>0</v>
      </c>
      <c r="Z1930" s="9">
        <f t="shared" si="138"/>
        <v>0</v>
      </c>
      <c r="AD1930" s="9">
        <f t="shared" si="139"/>
        <v>0</v>
      </c>
    </row>
    <row r="1931" spans="3:30" x14ac:dyDescent="0.4">
      <c r="C1931" t="str">
        <f t="shared" si="136"/>
        <v/>
      </c>
      <c r="T1931" s="9">
        <f t="shared" si="137"/>
        <v>0</v>
      </c>
      <c r="Z1931" s="9">
        <f t="shared" si="138"/>
        <v>0</v>
      </c>
      <c r="AD1931" s="9">
        <f t="shared" si="139"/>
        <v>0</v>
      </c>
    </row>
    <row r="1932" spans="3:30" x14ac:dyDescent="0.4">
      <c r="C1932" t="str">
        <f t="shared" si="136"/>
        <v/>
      </c>
      <c r="T1932" s="9">
        <f t="shared" si="137"/>
        <v>0</v>
      </c>
      <c r="Z1932" s="9">
        <f t="shared" si="138"/>
        <v>0</v>
      </c>
      <c r="AD1932" s="9">
        <f t="shared" si="139"/>
        <v>0</v>
      </c>
    </row>
    <row r="1933" spans="3:30" x14ac:dyDescent="0.4">
      <c r="C1933" t="str">
        <f t="shared" si="136"/>
        <v/>
      </c>
      <c r="T1933" s="9">
        <f t="shared" si="137"/>
        <v>0</v>
      </c>
      <c r="Z1933" s="9">
        <f t="shared" si="138"/>
        <v>0</v>
      </c>
      <c r="AD1933" s="9">
        <f t="shared" si="139"/>
        <v>0</v>
      </c>
    </row>
    <row r="1934" spans="3:30" x14ac:dyDescent="0.4">
      <c r="C1934" t="str">
        <f t="shared" si="136"/>
        <v/>
      </c>
      <c r="T1934" s="9">
        <f t="shared" si="137"/>
        <v>0</v>
      </c>
      <c r="Z1934" s="9">
        <f t="shared" si="138"/>
        <v>0</v>
      </c>
      <c r="AD1934" s="9">
        <f t="shared" si="139"/>
        <v>0</v>
      </c>
    </row>
    <row r="1935" spans="3:30" x14ac:dyDescent="0.4">
      <c r="C1935" t="str">
        <f t="shared" si="136"/>
        <v/>
      </c>
      <c r="T1935" s="9">
        <f t="shared" si="137"/>
        <v>0</v>
      </c>
      <c r="Z1935" s="9">
        <f t="shared" si="138"/>
        <v>0</v>
      </c>
      <c r="AD1935" s="9">
        <f t="shared" si="139"/>
        <v>0</v>
      </c>
    </row>
    <row r="1936" spans="3:30" x14ac:dyDescent="0.4">
      <c r="C1936" t="str">
        <f t="shared" si="136"/>
        <v/>
      </c>
      <c r="T1936" s="9">
        <f t="shared" si="137"/>
        <v>0</v>
      </c>
      <c r="Z1936" s="9">
        <f t="shared" si="138"/>
        <v>0</v>
      </c>
      <c r="AD1936" s="9">
        <f t="shared" si="139"/>
        <v>0</v>
      </c>
    </row>
    <row r="1937" spans="3:30" x14ac:dyDescent="0.4">
      <c r="C1937" t="str">
        <f t="shared" si="136"/>
        <v/>
      </c>
      <c r="T1937" s="9">
        <f t="shared" si="137"/>
        <v>0</v>
      </c>
      <c r="Z1937" s="9">
        <f t="shared" si="138"/>
        <v>0</v>
      </c>
      <c r="AD1937" s="9">
        <f t="shared" si="139"/>
        <v>0</v>
      </c>
    </row>
    <row r="1938" spans="3:30" x14ac:dyDescent="0.4">
      <c r="C1938" t="str">
        <f t="shared" si="136"/>
        <v/>
      </c>
      <c r="T1938" s="9">
        <f t="shared" si="137"/>
        <v>0</v>
      </c>
      <c r="Z1938" s="9">
        <f t="shared" si="138"/>
        <v>0</v>
      </c>
      <c r="AD1938" s="9">
        <f t="shared" si="139"/>
        <v>0</v>
      </c>
    </row>
    <row r="1939" spans="3:30" x14ac:dyDescent="0.4">
      <c r="C1939" t="str">
        <f t="shared" si="136"/>
        <v/>
      </c>
      <c r="T1939" s="9">
        <f t="shared" si="137"/>
        <v>0</v>
      </c>
      <c r="Z1939" s="9">
        <f t="shared" si="138"/>
        <v>0</v>
      </c>
      <c r="AD1939" s="9">
        <f t="shared" si="139"/>
        <v>0</v>
      </c>
    </row>
    <row r="1940" spans="3:30" x14ac:dyDescent="0.4">
      <c r="C1940" t="str">
        <f t="shared" si="136"/>
        <v/>
      </c>
      <c r="T1940" s="9">
        <f t="shared" si="137"/>
        <v>0</v>
      </c>
      <c r="Z1940" s="9">
        <f t="shared" si="138"/>
        <v>0</v>
      </c>
      <c r="AD1940" s="9">
        <f t="shared" si="139"/>
        <v>0</v>
      </c>
    </row>
    <row r="1941" spans="3:30" x14ac:dyDescent="0.4">
      <c r="C1941" t="str">
        <f t="shared" si="136"/>
        <v/>
      </c>
      <c r="T1941" s="9">
        <f t="shared" si="137"/>
        <v>0</v>
      </c>
      <c r="Z1941" s="9">
        <f t="shared" si="138"/>
        <v>0</v>
      </c>
      <c r="AD1941" s="9">
        <f t="shared" si="139"/>
        <v>0</v>
      </c>
    </row>
    <row r="1942" spans="3:30" x14ac:dyDescent="0.4">
      <c r="C1942" t="str">
        <f t="shared" si="136"/>
        <v/>
      </c>
      <c r="T1942" s="9">
        <f t="shared" si="137"/>
        <v>0</v>
      </c>
      <c r="Z1942" s="9">
        <f t="shared" si="138"/>
        <v>0</v>
      </c>
      <c r="AD1942" s="9">
        <f t="shared" si="139"/>
        <v>0</v>
      </c>
    </row>
    <row r="1943" spans="3:30" x14ac:dyDescent="0.4">
      <c r="C1943" t="str">
        <f t="shared" si="136"/>
        <v/>
      </c>
      <c r="T1943" s="9">
        <f t="shared" si="137"/>
        <v>0</v>
      </c>
      <c r="Z1943" s="9">
        <f t="shared" si="138"/>
        <v>0</v>
      </c>
      <c r="AD1943" s="9">
        <f t="shared" si="139"/>
        <v>0</v>
      </c>
    </row>
    <row r="1944" spans="3:30" x14ac:dyDescent="0.4">
      <c r="C1944" t="str">
        <f t="shared" si="136"/>
        <v/>
      </c>
      <c r="T1944" s="9">
        <f t="shared" si="137"/>
        <v>0</v>
      </c>
      <c r="Z1944" s="9">
        <f t="shared" si="138"/>
        <v>0</v>
      </c>
      <c r="AD1944" s="9">
        <f t="shared" si="139"/>
        <v>0</v>
      </c>
    </row>
    <row r="1945" spans="3:30" x14ac:dyDescent="0.4">
      <c r="C1945" t="str">
        <f t="shared" si="136"/>
        <v/>
      </c>
      <c r="T1945" s="9">
        <f t="shared" si="137"/>
        <v>0</v>
      </c>
      <c r="Z1945" s="9">
        <f t="shared" si="138"/>
        <v>0</v>
      </c>
      <c r="AD1945" s="9">
        <f t="shared" si="139"/>
        <v>0</v>
      </c>
    </row>
    <row r="1946" spans="3:30" x14ac:dyDescent="0.4">
      <c r="C1946" t="str">
        <f t="shared" si="136"/>
        <v/>
      </c>
      <c r="T1946" s="9">
        <f t="shared" si="137"/>
        <v>0</v>
      </c>
      <c r="Z1946" s="9">
        <f t="shared" si="138"/>
        <v>0</v>
      </c>
      <c r="AD1946" s="9">
        <f t="shared" si="139"/>
        <v>0</v>
      </c>
    </row>
    <row r="1947" spans="3:30" x14ac:dyDescent="0.4">
      <c r="C1947" t="str">
        <f t="shared" si="136"/>
        <v/>
      </c>
      <c r="T1947" s="9">
        <f t="shared" si="137"/>
        <v>0</v>
      </c>
      <c r="Z1947" s="9">
        <f t="shared" si="138"/>
        <v>0</v>
      </c>
      <c r="AD1947" s="9">
        <f t="shared" si="139"/>
        <v>0</v>
      </c>
    </row>
    <row r="1948" spans="3:30" x14ac:dyDescent="0.4">
      <c r="C1948" t="str">
        <f t="shared" si="136"/>
        <v/>
      </c>
      <c r="T1948" s="9">
        <f t="shared" si="137"/>
        <v>0</v>
      </c>
      <c r="Z1948" s="9">
        <f t="shared" si="138"/>
        <v>0</v>
      </c>
      <c r="AD1948" s="9">
        <f t="shared" si="139"/>
        <v>0</v>
      </c>
    </row>
    <row r="1949" spans="3:30" x14ac:dyDescent="0.4">
      <c r="C1949" t="str">
        <f t="shared" si="136"/>
        <v/>
      </c>
      <c r="T1949" s="9">
        <f t="shared" si="137"/>
        <v>0</v>
      </c>
      <c r="Z1949" s="9">
        <f t="shared" si="138"/>
        <v>0</v>
      </c>
      <c r="AD1949" s="9">
        <f t="shared" si="139"/>
        <v>0</v>
      </c>
    </row>
    <row r="1950" spans="3:30" x14ac:dyDescent="0.4">
      <c r="C1950" t="str">
        <f t="shared" si="136"/>
        <v/>
      </c>
      <c r="T1950" s="9">
        <f t="shared" si="137"/>
        <v>0</v>
      </c>
      <c r="Z1950" s="9">
        <f t="shared" si="138"/>
        <v>0</v>
      </c>
      <c r="AD1950" s="9">
        <f t="shared" si="139"/>
        <v>0</v>
      </c>
    </row>
    <row r="1951" spans="3:30" x14ac:dyDescent="0.4">
      <c r="C1951" t="str">
        <f t="shared" si="136"/>
        <v/>
      </c>
      <c r="T1951" s="9">
        <f t="shared" si="137"/>
        <v>0</v>
      </c>
      <c r="Z1951" s="9">
        <f t="shared" si="138"/>
        <v>0</v>
      </c>
      <c r="AD1951" s="9">
        <f t="shared" si="139"/>
        <v>0</v>
      </c>
    </row>
    <row r="1952" spans="3:30" x14ac:dyDescent="0.4">
      <c r="C1952" t="str">
        <f t="shared" si="136"/>
        <v/>
      </c>
      <c r="T1952" s="9">
        <f t="shared" si="137"/>
        <v>0</v>
      </c>
      <c r="Z1952" s="9">
        <f t="shared" si="138"/>
        <v>0</v>
      </c>
      <c r="AD1952" s="9">
        <f t="shared" si="139"/>
        <v>0</v>
      </c>
    </row>
    <row r="1953" spans="3:30" x14ac:dyDescent="0.4">
      <c r="C1953" t="str">
        <f t="shared" si="136"/>
        <v/>
      </c>
      <c r="T1953" s="9">
        <f t="shared" si="137"/>
        <v>0</v>
      </c>
      <c r="Z1953" s="9">
        <f t="shared" si="138"/>
        <v>0</v>
      </c>
      <c r="AD1953" s="9">
        <f t="shared" si="139"/>
        <v>0</v>
      </c>
    </row>
    <row r="1954" spans="3:30" x14ac:dyDescent="0.4">
      <c r="C1954" t="str">
        <f t="shared" si="136"/>
        <v/>
      </c>
      <c r="T1954" s="9">
        <f t="shared" si="137"/>
        <v>0</v>
      </c>
      <c r="Z1954" s="9">
        <f t="shared" si="138"/>
        <v>0</v>
      </c>
      <c r="AD1954" s="9">
        <f t="shared" si="139"/>
        <v>0</v>
      </c>
    </row>
    <row r="1955" spans="3:30" x14ac:dyDescent="0.4">
      <c r="C1955" t="str">
        <f t="shared" si="136"/>
        <v/>
      </c>
      <c r="T1955" s="9">
        <f t="shared" si="137"/>
        <v>0</v>
      </c>
      <c r="Z1955" s="9">
        <f t="shared" si="138"/>
        <v>0</v>
      </c>
      <c r="AD1955" s="9">
        <f t="shared" si="139"/>
        <v>0</v>
      </c>
    </row>
    <row r="1956" spans="3:30" x14ac:dyDescent="0.4">
      <c r="C1956" t="str">
        <f t="shared" si="136"/>
        <v/>
      </c>
      <c r="T1956" s="9">
        <f t="shared" si="137"/>
        <v>0</v>
      </c>
      <c r="Z1956" s="9">
        <f t="shared" si="138"/>
        <v>0</v>
      </c>
      <c r="AD1956" s="9">
        <f t="shared" si="139"/>
        <v>0</v>
      </c>
    </row>
    <row r="1957" spans="3:30" x14ac:dyDescent="0.4">
      <c r="C1957" t="str">
        <f t="shared" si="136"/>
        <v/>
      </c>
      <c r="T1957" s="9">
        <f t="shared" si="137"/>
        <v>0</v>
      </c>
      <c r="Z1957" s="9">
        <f t="shared" si="138"/>
        <v>0</v>
      </c>
      <c r="AD1957" s="9">
        <f t="shared" si="139"/>
        <v>0</v>
      </c>
    </row>
    <row r="1958" spans="3:30" x14ac:dyDescent="0.4">
      <c r="C1958" t="str">
        <f t="shared" si="136"/>
        <v/>
      </c>
      <c r="T1958" s="9">
        <f t="shared" si="137"/>
        <v>0</v>
      </c>
      <c r="Z1958" s="9">
        <f t="shared" si="138"/>
        <v>0</v>
      </c>
      <c r="AD1958" s="9">
        <f t="shared" si="139"/>
        <v>0</v>
      </c>
    </row>
    <row r="1959" spans="3:30" x14ac:dyDescent="0.4">
      <c r="C1959" t="str">
        <f t="shared" si="136"/>
        <v/>
      </c>
      <c r="T1959" s="9">
        <f t="shared" si="137"/>
        <v>0</v>
      </c>
      <c r="Z1959" s="9">
        <f t="shared" si="138"/>
        <v>0</v>
      </c>
      <c r="AD1959" s="9">
        <f t="shared" si="139"/>
        <v>0</v>
      </c>
    </row>
    <row r="1960" spans="3:30" x14ac:dyDescent="0.4">
      <c r="C1960" t="str">
        <f t="shared" si="136"/>
        <v/>
      </c>
      <c r="T1960" s="9">
        <f t="shared" si="137"/>
        <v>0</v>
      </c>
      <c r="Z1960" s="9">
        <f t="shared" si="138"/>
        <v>0</v>
      </c>
      <c r="AD1960" s="9">
        <f t="shared" si="139"/>
        <v>0</v>
      </c>
    </row>
    <row r="1961" spans="3:30" x14ac:dyDescent="0.4">
      <c r="C1961" t="str">
        <f t="shared" si="136"/>
        <v/>
      </c>
      <c r="T1961" s="9">
        <f t="shared" si="137"/>
        <v>0</v>
      </c>
      <c r="Z1961" s="9">
        <f t="shared" si="138"/>
        <v>0</v>
      </c>
      <c r="AD1961" s="9">
        <f t="shared" si="139"/>
        <v>0</v>
      </c>
    </row>
    <row r="1962" spans="3:30" x14ac:dyDescent="0.4">
      <c r="C1962" t="str">
        <f t="shared" si="136"/>
        <v/>
      </c>
      <c r="T1962" s="9">
        <f t="shared" si="137"/>
        <v>0</v>
      </c>
      <c r="Z1962" s="9">
        <f t="shared" si="138"/>
        <v>0</v>
      </c>
      <c r="AD1962" s="9">
        <f t="shared" si="139"/>
        <v>0</v>
      </c>
    </row>
    <row r="1963" spans="3:30" x14ac:dyDescent="0.4">
      <c r="C1963" t="str">
        <f t="shared" si="136"/>
        <v/>
      </c>
      <c r="T1963" s="9">
        <f t="shared" si="137"/>
        <v>0</v>
      </c>
      <c r="Z1963" s="9">
        <f t="shared" si="138"/>
        <v>0</v>
      </c>
      <c r="AD1963" s="9">
        <f t="shared" si="139"/>
        <v>0</v>
      </c>
    </row>
    <row r="1964" spans="3:30" x14ac:dyDescent="0.4">
      <c r="C1964" t="str">
        <f t="shared" si="136"/>
        <v/>
      </c>
      <c r="T1964" s="9">
        <f t="shared" si="137"/>
        <v>0</v>
      </c>
      <c r="Z1964" s="9">
        <f t="shared" si="138"/>
        <v>0</v>
      </c>
      <c r="AD1964" s="9">
        <f t="shared" si="139"/>
        <v>0</v>
      </c>
    </row>
    <row r="1965" spans="3:30" x14ac:dyDescent="0.4">
      <c r="C1965" t="str">
        <f t="shared" si="136"/>
        <v/>
      </c>
      <c r="T1965" s="9">
        <f t="shared" si="137"/>
        <v>0</v>
      </c>
      <c r="Z1965" s="9">
        <f t="shared" si="138"/>
        <v>0</v>
      </c>
      <c r="AD1965" s="9">
        <f t="shared" si="139"/>
        <v>0</v>
      </c>
    </row>
    <row r="1966" spans="3:30" x14ac:dyDescent="0.4">
      <c r="C1966" t="str">
        <f t="shared" si="136"/>
        <v/>
      </c>
      <c r="T1966" s="9">
        <f t="shared" si="137"/>
        <v>0</v>
      </c>
      <c r="Z1966" s="9">
        <f t="shared" si="138"/>
        <v>0</v>
      </c>
      <c r="AD1966" s="9">
        <f t="shared" si="139"/>
        <v>0</v>
      </c>
    </row>
    <row r="1967" spans="3:30" x14ac:dyDescent="0.4">
      <c r="C1967" t="str">
        <f t="shared" si="136"/>
        <v/>
      </c>
      <c r="T1967" s="9">
        <f t="shared" si="137"/>
        <v>0</v>
      </c>
      <c r="Z1967" s="9">
        <f t="shared" si="138"/>
        <v>0</v>
      </c>
      <c r="AD1967" s="9">
        <f t="shared" si="139"/>
        <v>0</v>
      </c>
    </row>
    <row r="1968" spans="3:30" x14ac:dyDescent="0.4">
      <c r="C1968" t="str">
        <f t="shared" si="136"/>
        <v/>
      </c>
      <c r="T1968" s="9">
        <f t="shared" si="137"/>
        <v>0</v>
      </c>
      <c r="Z1968" s="9">
        <f t="shared" si="138"/>
        <v>0</v>
      </c>
      <c r="AD1968" s="9">
        <f t="shared" si="139"/>
        <v>0</v>
      </c>
    </row>
    <row r="1969" spans="3:30" x14ac:dyDescent="0.4">
      <c r="C1969" t="str">
        <f t="shared" si="136"/>
        <v/>
      </c>
      <c r="T1969" s="9">
        <f t="shared" si="137"/>
        <v>0</v>
      </c>
      <c r="Z1969" s="9">
        <f t="shared" si="138"/>
        <v>0</v>
      </c>
      <c r="AD1969" s="9">
        <f t="shared" si="139"/>
        <v>0</v>
      </c>
    </row>
    <row r="1970" spans="3:30" x14ac:dyDescent="0.4">
      <c r="C1970" t="str">
        <f t="shared" si="136"/>
        <v/>
      </c>
      <c r="T1970" s="9">
        <f t="shared" si="137"/>
        <v>0</v>
      </c>
      <c r="Z1970" s="9">
        <f t="shared" si="138"/>
        <v>0</v>
      </c>
      <c r="AD1970" s="9">
        <f t="shared" si="139"/>
        <v>0</v>
      </c>
    </row>
    <row r="1971" spans="3:30" x14ac:dyDescent="0.4">
      <c r="C1971" t="str">
        <f t="shared" si="136"/>
        <v/>
      </c>
      <c r="T1971" s="9">
        <f t="shared" si="137"/>
        <v>0</v>
      </c>
      <c r="Z1971" s="9">
        <f t="shared" si="138"/>
        <v>0</v>
      </c>
      <c r="AD1971" s="9">
        <f t="shared" si="139"/>
        <v>0</v>
      </c>
    </row>
    <row r="1972" spans="3:30" x14ac:dyDescent="0.4">
      <c r="C1972" t="str">
        <f t="shared" si="136"/>
        <v/>
      </c>
      <c r="T1972" s="9">
        <f t="shared" si="137"/>
        <v>0</v>
      </c>
      <c r="Z1972" s="9">
        <f t="shared" si="138"/>
        <v>0</v>
      </c>
      <c r="AD1972" s="9">
        <f t="shared" si="139"/>
        <v>0</v>
      </c>
    </row>
    <row r="1973" spans="3:30" x14ac:dyDescent="0.4">
      <c r="C1973" t="str">
        <f t="shared" si="136"/>
        <v/>
      </c>
      <c r="T1973" s="9">
        <f t="shared" si="137"/>
        <v>0</v>
      </c>
      <c r="Z1973" s="9">
        <f t="shared" si="138"/>
        <v>0</v>
      </c>
      <c r="AD1973" s="9">
        <f t="shared" si="139"/>
        <v>0</v>
      </c>
    </row>
    <row r="1974" spans="3:30" x14ac:dyDescent="0.4">
      <c r="C1974" t="str">
        <f t="shared" si="136"/>
        <v/>
      </c>
      <c r="T1974" s="9">
        <f t="shared" si="137"/>
        <v>0</v>
      </c>
      <c r="Z1974" s="9">
        <f t="shared" si="138"/>
        <v>0</v>
      </c>
      <c r="AD1974" s="9">
        <f t="shared" si="139"/>
        <v>0</v>
      </c>
    </row>
    <row r="1975" spans="3:30" x14ac:dyDescent="0.4">
      <c r="C1975" t="str">
        <f t="shared" si="136"/>
        <v/>
      </c>
      <c r="T1975" s="9">
        <f t="shared" si="137"/>
        <v>0</v>
      </c>
      <c r="Z1975" s="9">
        <f t="shared" si="138"/>
        <v>0</v>
      </c>
      <c r="AD1975" s="9">
        <f t="shared" si="139"/>
        <v>0</v>
      </c>
    </row>
    <row r="1976" spans="3:30" x14ac:dyDescent="0.4">
      <c r="C1976" t="str">
        <f t="shared" si="136"/>
        <v/>
      </c>
      <c r="T1976" s="9">
        <f t="shared" si="137"/>
        <v>0</v>
      </c>
      <c r="Z1976" s="9">
        <f t="shared" si="138"/>
        <v>0</v>
      </c>
      <c r="AD1976" s="9">
        <f t="shared" si="139"/>
        <v>0</v>
      </c>
    </row>
    <row r="1977" spans="3:30" x14ac:dyDescent="0.4">
      <c r="C1977" t="str">
        <f t="shared" si="136"/>
        <v/>
      </c>
      <c r="T1977" s="9">
        <f t="shared" si="137"/>
        <v>0</v>
      </c>
      <c r="Z1977" s="9">
        <f t="shared" si="138"/>
        <v>0</v>
      </c>
      <c r="AD1977" s="9">
        <f t="shared" si="139"/>
        <v>0</v>
      </c>
    </row>
    <row r="1978" spans="3:30" x14ac:dyDescent="0.4">
      <c r="C1978" t="str">
        <f t="shared" si="136"/>
        <v/>
      </c>
      <c r="T1978" s="9">
        <f t="shared" si="137"/>
        <v>0</v>
      </c>
      <c r="Z1978" s="9">
        <f t="shared" si="138"/>
        <v>0</v>
      </c>
      <c r="AD1978" s="9">
        <f t="shared" si="139"/>
        <v>0</v>
      </c>
    </row>
    <row r="1979" spans="3:30" x14ac:dyDescent="0.4">
      <c r="C1979" t="str">
        <f t="shared" si="136"/>
        <v/>
      </c>
      <c r="T1979" s="9">
        <f t="shared" si="137"/>
        <v>0</v>
      </c>
      <c r="Z1979" s="9">
        <f t="shared" si="138"/>
        <v>0</v>
      </c>
      <c r="AD1979" s="9">
        <f t="shared" si="139"/>
        <v>0</v>
      </c>
    </row>
    <row r="1980" spans="3:30" x14ac:dyDescent="0.4">
      <c r="C1980" t="str">
        <f t="shared" si="136"/>
        <v/>
      </c>
      <c r="T1980" s="9">
        <f t="shared" si="137"/>
        <v>0</v>
      </c>
      <c r="Z1980" s="9">
        <f t="shared" si="138"/>
        <v>0</v>
      </c>
      <c r="AD1980" s="9">
        <f t="shared" si="139"/>
        <v>0</v>
      </c>
    </row>
    <row r="1981" spans="3:30" x14ac:dyDescent="0.4">
      <c r="C1981" t="str">
        <f t="shared" si="136"/>
        <v/>
      </c>
      <c r="T1981" s="9">
        <f t="shared" si="137"/>
        <v>0</v>
      </c>
      <c r="Z1981" s="9">
        <f t="shared" si="138"/>
        <v>0</v>
      </c>
      <c r="AD1981" s="9">
        <f t="shared" si="139"/>
        <v>0</v>
      </c>
    </row>
    <row r="1982" spans="3:30" x14ac:dyDescent="0.4">
      <c r="C1982" t="str">
        <f t="shared" si="136"/>
        <v/>
      </c>
      <c r="T1982" s="9">
        <f t="shared" si="137"/>
        <v>0</v>
      </c>
      <c r="Z1982" s="9">
        <f t="shared" si="138"/>
        <v>0</v>
      </c>
      <c r="AD1982" s="9">
        <f t="shared" si="139"/>
        <v>0</v>
      </c>
    </row>
    <row r="1983" spans="3:30" x14ac:dyDescent="0.4">
      <c r="C1983" t="str">
        <f t="shared" si="136"/>
        <v/>
      </c>
      <c r="T1983" s="9">
        <f t="shared" si="137"/>
        <v>0</v>
      </c>
      <c r="Z1983" s="9">
        <f t="shared" si="138"/>
        <v>0</v>
      </c>
      <c r="AD1983" s="9">
        <f t="shared" si="139"/>
        <v>0</v>
      </c>
    </row>
    <row r="1984" spans="3:30" x14ac:dyDescent="0.4">
      <c r="C1984" t="str">
        <f t="shared" si="136"/>
        <v/>
      </c>
      <c r="T1984" s="9">
        <f t="shared" si="137"/>
        <v>0</v>
      </c>
      <c r="Z1984" s="9">
        <f t="shared" si="138"/>
        <v>0</v>
      </c>
      <c r="AD1984" s="9">
        <f t="shared" si="139"/>
        <v>0</v>
      </c>
    </row>
    <row r="1985" spans="3:30" x14ac:dyDescent="0.4">
      <c r="C1985" t="str">
        <f t="shared" si="136"/>
        <v/>
      </c>
      <c r="T1985" s="9">
        <f t="shared" si="137"/>
        <v>0</v>
      </c>
      <c r="Z1985" s="9">
        <f t="shared" si="138"/>
        <v>0</v>
      </c>
      <c r="AD1985" s="9">
        <f t="shared" si="139"/>
        <v>0</v>
      </c>
    </row>
    <row r="1986" spans="3:30" x14ac:dyDescent="0.4">
      <c r="C1986" t="str">
        <f t="shared" si="136"/>
        <v/>
      </c>
      <c r="T1986" s="9">
        <f t="shared" si="137"/>
        <v>0</v>
      </c>
      <c r="Z1986" s="9">
        <f t="shared" si="138"/>
        <v>0</v>
      </c>
      <c r="AD1986" s="9">
        <f t="shared" si="139"/>
        <v>0</v>
      </c>
    </row>
    <row r="1987" spans="3:30" x14ac:dyDescent="0.4">
      <c r="C1987" t="str">
        <f t="shared" ref="C1987:C2000" si="140">IF(A1987="","",$J$1&amp;"\"&amp;A1987)</f>
        <v/>
      </c>
      <c r="T1987" s="9">
        <f t="shared" si="137"/>
        <v>0</v>
      </c>
      <c r="Z1987" s="9">
        <f t="shared" si="138"/>
        <v>0</v>
      </c>
      <c r="AD1987" s="9">
        <f t="shared" si="139"/>
        <v>0</v>
      </c>
    </row>
    <row r="1988" spans="3:30" x14ac:dyDescent="0.4">
      <c r="C1988" t="str">
        <f t="shared" si="140"/>
        <v/>
      </c>
      <c r="T1988" s="9">
        <f t="shared" si="137"/>
        <v>0</v>
      </c>
      <c r="Z1988" s="9">
        <f t="shared" si="138"/>
        <v>0</v>
      </c>
      <c r="AD1988" s="9">
        <f t="shared" si="139"/>
        <v>0</v>
      </c>
    </row>
    <row r="1989" spans="3:30" x14ac:dyDescent="0.4">
      <c r="C1989" t="str">
        <f t="shared" si="140"/>
        <v/>
      </c>
      <c r="T1989" s="9">
        <f t="shared" si="137"/>
        <v>0</v>
      </c>
      <c r="Z1989" s="9">
        <f t="shared" si="138"/>
        <v>0</v>
      </c>
      <c r="AD1989" s="9">
        <f t="shared" si="139"/>
        <v>0</v>
      </c>
    </row>
    <row r="1990" spans="3:30" x14ac:dyDescent="0.4">
      <c r="C1990" t="str">
        <f t="shared" si="140"/>
        <v/>
      </c>
      <c r="T1990" s="9">
        <f t="shared" si="137"/>
        <v>0</v>
      </c>
      <c r="Z1990" s="9">
        <f t="shared" si="138"/>
        <v>0</v>
      </c>
      <c r="AD1990" s="9">
        <f t="shared" si="139"/>
        <v>0</v>
      </c>
    </row>
    <row r="1991" spans="3:30" x14ac:dyDescent="0.4">
      <c r="C1991" t="str">
        <f t="shared" si="140"/>
        <v/>
      </c>
      <c r="T1991" s="9">
        <f t="shared" si="137"/>
        <v>0</v>
      </c>
      <c r="Z1991" s="9">
        <f t="shared" si="138"/>
        <v>0</v>
      </c>
      <c r="AD1991" s="9">
        <f t="shared" si="139"/>
        <v>0</v>
      </c>
    </row>
    <row r="1992" spans="3:30" x14ac:dyDescent="0.4">
      <c r="C1992" t="str">
        <f t="shared" si="140"/>
        <v/>
      </c>
      <c r="T1992" s="9">
        <f t="shared" ref="T1992:T2000" si="141">(COUNTIFS(TH_TK,N1992,TH_DuNo,O1992,TH_DuNoNT,P1992,TH_DuCo,Q1992,TH_DuCoNT,R1992,TH_SoLuong,S1992)&gt;0)*1</f>
        <v>0</v>
      </c>
      <c r="Z1992" s="9">
        <f t="shared" ref="Z1992:Z2000" si="142">(COUNTIFS(NV,U1992,TK,V1992,TongNo,W1992,TongCo,X1992,SoLuong,Y1992)&gt;0)*1</f>
        <v>0</v>
      </c>
      <c r="AD1992" s="9">
        <f t="shared" ref="AD1992:AD2000" si="143">COUNTIFS(ReportType,AA1992,ItemCode,AB1992,Amount,AC1992)</f>
        <v>0</v>
      </c>
    </row>
    <row r="1993" spans="3:30" x14ac:dyDescent="0.4">
      <c r="C1993" t="str">
        <f t="shared" si="140"/>
        <v/>
      </c>
      <c r="T1993" s="9">
        <f t="shared" si="141"/>
        <v>0</v>
      </c>
      <c r="Z1993" s="9">
        <f t="shared" si="142"/>
        <v>0</v>
      </c>
      <c r="AD1993" s="9">
        <f t="shared" si="143"/>
        <v>0</v>
      </c>
    </row>
    <row r="1994" spans="3:30" x14ac:dyDescent="0.4">
      <c r="C1994" t="str">
        <f t="shared" si="140"/>
        <v/>
      </c>
      <c r="T1994" s="9">
        <f t="shared" si="141"/>
        <v>0</v>
      </c>
      <c r="Z1994" s="9">
        <f t="shared" si="142"/>
        <v>0</v>
      </c>
      <c r="AD1994" s="9">
        <f t="shared" si="143"/>
        <v>0</v>
      </c>
    </row>
    <row r="1995" spans="3:30" x14ac:dyDescent="0.4">
      <c r="C1995" t="str">
        <f t="shared" si="140"/>
        <v/>
      </c>
      <c r="T1995" s="9">
        <f t="shared" si="141"/>
        <v>0</v>
      </c>
      <c r="Z1995" s="9">
        <f t="shared" si="142"/>
        <v>0</v>
      </c>
      <c r="AD1995" s="9">
        <f t="shared" si="143"/>
        <v>0</v>
      </c>
    </row>
    <row r="1996" spans="3:30" x14ac:dyDescent="0.4">
      <c r="C1996" t="str">
        <f t="shared" si="140"/>
        <v/>
      </c>
      <c r="T1996" s="9">
        <f t="shared" si="141"/>
        <v>0</v>
      </c>
      <c r="Z1996" s="9">
        <f t="shared" si="142"/>
        <v>0</v>
      </c>
      <c r="AD1996" s="9">
        <f t="shared" si="143"/>
        <v>0</v>
      </c>
    </row>
    <row r="1997" spans="3:30" x14ac:dyDescent="0.4">
      <c r="C1997" t="str">
        <f t="shared" si="140"/>
        <v/>
      </c>
      <c r="T1997" s="9">
        <f t="shared" si="141"/>
        <v>0</v>
      </c>
      <c r="Z1997" s="9">
        <f t="shared" si="142"/>
        <v>0</v>
      </c>
      <c r="AD1997" s="9">
        <f t="shared" si="143"/>
        <v>0</v>
      </c>
    </row>
    <row r="1998" spans="3:30" x14ac:dyDescent="0.4">
      <c r="C1998" t="str">
        <f t="shared" si="140"/>
        <v/>
      </c>
      <c r="T1998" s="9">
        <f t="shared" si="141"/>
        <v>0</v>
      </c>
      <c r="Z1998" s="9">
        <f t="shared" si="142"/>
        <v>0</v>
      </c>
      <c r="AD1998" s="9">
        <f t="shared" si="143"/>
        <v>0</v>
      </c>
    </row>
    <row r="1999" spans="3:30" x14ac:dyDescent="0.4">
      <c r="C1999" t="str">
        <f t="shared" si="140"/>
        <v/>
      </c>
      <c r="T1999" s="9">
        <f t="shared" si="141"/>
        <v>0</v>
      </c>
      <c r="Z1999" s="9">
        <f t="shared" si="142"/>
        <v>0</v>
      </c>
      <c r="AD1999" s="9">
        <f t="shared" si="143"/>
        <v>0</v>
      </c>
    </row>
    <row r="2000" spans="3:30" x14ac:dyDescent="0.4">
      <c r="C2000" t="str">
        <f t="shared" si="140"/>
        <v/>
      </c>
      <c r="T2000" s="9">
        <f t="shared" si="141"/>
        <v>0</v>
      </c>
      <c r="Z2000" s="9">
        <f t="shared" si="142"/>
        <v>0</v>
      </c>
      <c r="AD2000" s="9">
        <f t="shared" si="14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nhSach"/>
  <dimension ref="A1:E392"/>
  <sheetViews>
    <sheetView topLeftCell="A3" workbookViewId="0">
      <selection activeCell="B7" sqref="B7"/>
    </sheetView>
  </sheetViews>
  <sheetFormatPr defaultColWidth="0" defaultRowHeight="18.75" x14ac:dyDescent="0.35"/>
  <cols>
    <col min="1" max="1" width="7.42578125" style="1" bestFit="1" customWidth="1"/>
    <col min="2" max="2" width="15.5703125" style="29" bestFit="1" customWidth="1"/>
    <col min="3" max="3" width="24.85546875" style="1" bestFit="1" customWidth="1"/>
    <col min="4" max="4" width="10" style="1" bestFit="1" customWidth="1"/>
    <col min="5" max="5" width="23.42578125" style="1" customWidth="1"/>
    <col min="6" max="16384" width="9.140625" style="1" hidden="1"/>
  </cols>
  <sheetData>
    <row r="1" spans="1:5" x14ac:dyDescent="0.35">
      <c r="A1" s="54" t="s">
        <v>46</v>
      </c>
      <c r="B1" s="54"/>
      <c r="C1" s="54"/>
      <c r="D1" s="54"/>
    </row>
    <row r="2" spans="1:5" x14ac:dyDescent="0.35">
      <c r="A2" s="33"/>
      <c r="B2" s="33"/>
      <c r="C2" s="33"/>
      <c r="D2" s="33"/>
    </row>
    <row r="3" spans="1:5" x14ac:dyDescent="0.35">
      <c r="A3" s="33"/>
      <c r="B3" s="33" t="s">
        <v>71</v>
      </c>
      <c r="C3" s="34" t="s">
        <v>38</v>
      </c>
      <c r="D3" s="33"/>
    </row>
    <row r="5" spans="1:5" ht="18.75" customHeight="1" x14ac:dyDescent="0.35">
      <c r="A5" s="53" t="s">
        <v>39</v>
      </c>
      <c r="B5" s="53" t="s">
        <v>40</v>
      </c>
      <c r="C5" s="53"/>
      <c r="D5" s="53"/>
      <c r="E5" s="53"/>
    </row>
    <row r="6" spans="1:5" x14ac:dyDescent="0.35">
      <c r="A6" s="53"/>
      <c r="B6" s="36" t="s">
        <v>41</v>
      </c>
      <c r="C6" s="37" t="s">
        <v>42</v>
      </c>
      <c r="D6" s="37" t="s">
        <v>43</v>
      </c>
      <c r="E6" s="37" t="s">
        <v>72</v>
      </c>
    </row>
    <row r="7" spans="1:5" x14ac:dyDescent="0.35">
      <c r="A7" s="28">
        <f>IF(B7="",0,A6+1)</f>
        <v>1</v>
      </c>
      <c r="B7" t="s">
        <v>473</v>
      </c>
      <c r="C7" t="s">
        <v>474</v>
      </c>
      <c r="D7" t="s">
        <v>475</v>
      </c>
      <c r="E7" s="1" t="s">
        <v>403</v>
      </c>
    </row>
    <row r="8" spans="1:5" x14ac:dyDescent="0.35">
      <c r="A8" s="28">
        <f t="shared" ref="A8:A71" si="0">IF(B8="",0,A7+1)</f>
        <v>0</v>
      </c>
      <c r="B8"/>
      <c r="C8"/>
      <c r="D8"/>
      <c r="E8" s="1" t="s">
        <v>403</v>
      </c>
    </row>
    <row r="9" spans="1:5" x14ac:dyDescent="0.35">
      <c r="A9" s="28">
        <f t="shared" si="0"/>
        <v>0</v>
      </c>
      <c r="B9"/>
      <c r="C9"/>
      <c r="D9"/>
      <c r="E9" s="1" t="s">
        <v>403</v>
      </c>
    </row>
    <row r="10" spans="1:5" x14ac:dyDescent="0.35">
      <c r="A10" s="28">
        <f t="shared" si="0"/>
        <v>0</v>
      </c>
      <c r="B10"/>
      <c r="C10"/>
      <c r="D10"/>
      <c r="E10" s="1" t="s">
        <v>403</v>
      </c>
    </row>
    <row r="11" spans="1:5" x14ac:dyDescent="0.35">
      <c r="A11" s="28">
        <f t="shared" si="0"/>
        <v>0</v>
      </c>
      <c r="B11"/>
      <c r="C11"/>
      <c r="D11"/>
      <c r="E11" s="1" t="s">
        <v>403</v>
      </c>
    </row>
    <row r="12" spans="1:5" x14ac:dyDescent="0.35">
      <c r="A12" s="28">
        <f t="shared" si="0"/>
        <v>0</v>
      </c>
      <c r="B12"/>
      <c r="C12"/>
      <c r="D12"/>
      <c r="E12" s="1" t="s">
        <v>403</v>
      </c>
    </row>
    <row r="13" spans="1:5" x14ac:dyDescent="0.35">
      <c r="A13" s="28">
        <f t="shared" si="0"/>
        <v>0</v>
      </c>
      <c r="B13"/>
      <c r="C13"/>
      <c r="D13"/>
      <c r="E13" s="1" t="s">
        <v>403</v>
      </c>
    </row>
    <row r="14" spans="1:5" x14ac:dyDescent="0.35">
      <c r="A14" s="28">
        <f t="shared" si="0"/>
        <v>0</v>
      </c>
      <c r="B14"/>
      <c r="C14"/>
      <c r="D14"/>
      <c r="E14" s="1" t="s">
        <v>403</v>
      </c>
    </row>
    <row r="15" spans="1:5" x14ac:dyDescent="0.35">
      <c r="A15" s="28">
        <f t="shared" si="0"/>
        <v>0</v>
      </c>
      <c r="B15"/>
      <c r="C15"/>
      <c r="D15"/>
      <c r="E15" s="1" t="s">
        <v>403</v>
      </c>
    </row>
    <row r="16" spans="1:5" x14ac:dyDescent="0.35">
      <c r="A16" s="28">
        <f t="shared" si="0"/>
        <v>0</v>
      </c>
      <c r="B16"/>
      <c r="C16"/>
      <c r="D16"/>
      <c r="E16" s="1" t="s">
        <v>403</v>
      </c>
    </row>
    <row r="17" spans="1:5" x14ac:dyDescent="0.35">
      <c r="A17" s="28">
        <f t="shared" si="0"/>
        <v>0</v>
      </c>
      <c r="B17"/>
      <c r="C17"/>
      <c r="D17"/>
      <c r="E17" s="1" t="s">
        <v>403</v>
      </c>
    </row>
    <row r="18" spans="1:5" x14ac:dyDescent="0.35">
      <c r="A18" s="28">
        <f t="shared" si="0"/>
        <v>0</v>
      </c>
      <c r="B18"/>
      <c r="C18"/>
      <c r="D18"/>
      <c r="E18" s="1" t="s">
        <v>403</v>
      </c>
    </row>
    <row r="19" spans="1:5" x14ac:dyDescent="0.35">
      <c r="A19" s="28">
        <f t="shared" si="0"/>
        <v>0</v>
      </c>
      <c r="B19"/>
      <c r="C19"/>
      <c r="D19"/>
      <c r="E19" s="1" t="s">
        <v>403</v>
      </c>
    </row>
    <row r="20" spans="1:5" x14ac:dyDescent="0.35">
      <c r="A20" s="28">
        <f t="shared" si="0"/>
        <v>0</v>
      </c>
      <c r="B20"/>
      <c r="C20"/>
      <c r="D20"/>
      <c r="E20" s="1" t="s">
        <v>403</v>
      </c>
    </row>
    <row r="21" spans="1:5" x14ac:dyDescent="0.35">
      <c r="A21" s="28">
        <f t="shared" si="0"/>
        <v>0</v>
      </c>
      <c r="B21"/>
      <c r="C21"/>
      <c r="D21"/>
      <c r="E21" s="1" t="s">
        <v>403</v>
      </c>
    </row>
    <row r="22" spans="1:5" x14ac:dyDescent="0.35">
      <c r="A22" s="28">
        <f t="shared" si="0"/>
        <v>0</v>
      </c>
      <c r="B22"/>
      <c r="C22"/>
      <c r="D22"/>
      <c r="E22" s="1" t="s">
        <v>403</v>
      </c>
    </row>
    <row r="23" spans="1:5" x14ac:dyDescent="0.35">
      <c r="A23" s="28">
        <f t="shared" si="0"/>
        <v>0</v>
      </c>
      <c r="B23"/>
      <c r="C23"/>
      <c r="D23"/>
      <c r="E23" s="1" t="s">
        <v>403</v>
      </c>
    </row>
    <row r="24" spans="1:5" x14ac:dyDescent="0.35">
      <c r="A24" s="28">
        <f t="shared" si="0"/>
        <v>0</v>
      </c>
      <c r="B24"/>
      <c r="C24"/>
      <c r="D24"/>
      <c r="E24" s="1" t="s">
        <v>403</v>
      </c>
    </row>
    <row r="25" spans="1:5" x14ac:dyDescent="0.35">
      <c r="A25" s="28">
        <f t="shared" si="0"/>
        <v>0</v>
      </c>
      <c r="B25"/>
      <c r="C25"/>
      <c r="D25"/>
      <c r="E25" s="1" t="s">
        <v>403</v>
      </c>
    </row>
    <row r="26" spans="1:5" x14ac:dyDescent="0.35">
      <c r="A26" s="28">
        <f t="shared" si="0"/>
        <v>0</v>
      </c>
      <c r="B26"/>
      <c r="C26"/>
      <c r="D26"/>
      <c r="E26" s="1" t="s">
        <v>403</v>
      </c>
    </row>
    <row r="27" spans="1:5" x14ac:dyDescent="0.35">
      <c r="A27" s="28">
        <f t="shared" si="0"/>
        <v>0</v>
      </c>
      <c r="B27"/>
      <c r="C27"/>
      <c r="D27"/>
      <c r="E27" s="1" t="s">
        <v>403</v>
      </c>
    </row>
    <row r="28" spans="1:5" x14ac:dyDescent="0.35">
      <c r="A28" s="28">
        <f t="shared" si="0"/>
        <v>0</v>
      </c>
      <c r="B28"/>
      <c r="C28"/>
      <c r="D28"/>
      <c r="E28" s="1" t="s">
        <v>403</v>
      </c>
    </row>
    <row r="29" spans="1:5" x14ac:dyDescent="0.35">
      <c r="A29" s="28">
        <f t="shared" si="0"/>
        <v>0</v>
      </c>
      <c r="B29"/>
      <c r="C29"/>
      <c r="D29"/>
      <c r="E29" s="1" t="s">
        <v>403</v>
      </c>
    </row>
    <row r="30" spans="1:5" x14ac:dyDescent="0.35">
      <c r="A30" s="28">
        <f t="shared" si="0"/>
        <v>0</v>
      </c>
      <c r="B30"/>
      <c r="C30"/>
      <c r="D30"/>
      <c r="E30" s="1" t="s">
        <v>403</v>
      </c>
    </row>
    <row r="31" spans="1:5" x14ac:dyDescent="0.35">
      <c r="A31" s="28">
        <f t="shared" si="0"/>
        <v>0</v>
      </c>
      <c r="B31"/>
      <c r="C31"/>
      <c r="D31"/>
      <c r="E31" s="1" t="s">
        <v>403</v>
      </c>
    </row>
    <row r="32" spans="1:5" x14ac:dyDescent="0.35">
      <c r="A32" s="28">
        <f t="shared" si="0"/>
        <v>0</v>
      </c>
      <c r="B32"/>
      <c r="C32"/>
      <c r="D32"/>
      <c r="E32" s="1" t="s">
        <v>403</v>
      </c>
    </row>
    <row r="33" spans="1:5" x14ac:dyDescent="0.35">
      <c r="A33" s="28">
        <f t="shared" si="0"/>
        <v>0</v>
      </c>
      <c r="B33"/>
      <c r="C33"/>
      <c r="D33"/>
      <c r="E33" s="1" t="s">
        <v>403</v>
      </c>
    </row>
    <row r="34" spans="1:5" x14ac:dyDescent="0.35">
      <c r="A34" s="28">
        <f t="shared" si="0"/>
        <v>0</v>
      </c>
      <c r="B34"/>
      <c r="C34"/>
      <c r="D34"/>
      <c r="E34" s="1" t="s">
        <v>403</v>
      </c>
    </row>
    <row r="35" spans="1:5" x14ac:dyDescent="0.35">
      <c r="A35" s="28">
        <f t="shared" si="0"/>
        <v>0</v>
      </c>
      <c r="B35"/>
      <c r="C35"/>
      <c r="D35"/>
      <c r="E35" s="1" t="s">
        <v>403</v>
      </c>
    </row>
    <row r="36" spans="1:5" x14ac:dyDescent="0.35">
      <c r="A36" s="28">
        <f t="shared" si="0"/>
        <v>0</v>
      </c>
      <c r="B36"/>
      <c r="C36"/>
      <c r="D36"/>
      <c r="E36" s="1" t="s">
        <v>403</v>
      </c>
    </row>
    <row r="37" spans="1:5" x14ac:dyDescent="0.35">
      <c r="A37" s="28">
        <f t="shared" si="0"/>
        <v>0</v>
      </c>
      <c r="B37"/>
      <c r="C37"/>
      <c r="D37"/>
      <c r="E37" s="1" t="s">
        <v>403</v>
      </c>
    </row>
    <row r="38" spans="1:5" x14ac:dyDescent="0.35">
      <c r="A38" s="28">
        <f t="shared" si="0"/>
        <v>0</v>
      </c>
      <c r="B38"/>
      <c r="C38"/>
      <c r="D38"/>
      <c r="E38" s="1" t="s">
        <v>403</v>
      </c>
    </row>
    <row r="39" spans="1:5" x14ac:dyDescent="0.35">
      <c r="A39" s="28">
        <f t="shared" si="0"/>
        <v>0</v>
      </c>
      <c r="B39"/>
      <c r="C39"/>
      <c r="D39"/>
      <c r="E39" s="1" t="s">
        <v>403</v>
      </c>
    </row>
    <row r="40" spans="1:5" x14ac:dyDescent="0.35">
      <c r="A40" s="28">
        <f t="shared" si="0"/>
        <v>0</v>
      </c>
      <c r="B40"/>
      <c r="C40"/>
      <c r="D40"/>
      <c r="E40" s="1" t="s">
        <v>403</v>
      </c>
    </row>
    <row r="41" spans="1:5" x14ac:dyDescent="0.35">
      <c r="A41" s="28">
        <f t="shared" si="0"/>
        <v>0</v>
      </c>
      <c r="B41"/>
      <c r="C41"/>
      <c r="D41"/>
      <c r="E41" s="1" t="s">
        <v>403</v>
      </c>
    </row>
    <row r="42" spans="1:5" x14ac:dyDescent="0.35">
      <c r="A42" s="28">
        <f t="shared" si="0"/>
        <v>0</v>
      </c>
      <c r="B42"/>
      <c r="C42"/>
      <c r="D42"/>
      <c r="E42" s="1" t="s">
        <v>403</v>
      </c>
    </row>
    <row r="43" spans="1:5" x14ac:dyDescent="0.35">
      <c r="A43" s="28">
        <f t="shared" si="0"/>
        <v>0</v>
      </c>
      <c r="B43"/>
      <c r="C43"/>
      <c r="D43"/>
      <c r="E43" s="1" t="s">
        <v>403</v>
      </c>
    </row>
    <row r="44" spans="1:5" x14ac:dyDescent="0.35">
      <c r="A44" s="28">
        <f t="shared" si="0"/>
        <v>0</v>
      </c>
      <c r="B44"/>
      <c r="C44"/>
      <c r="D44"/>
      <c r="E44" s="1" t="s">
        <v>403</v>
      </c>
    </row>
    <row r="45" spans="1:5" x14ac:dyDescent="0.35">
      <c r="A45" s="28">
        <f t="shared" si="0"/>
        <v>0</v>
      </c>
      <c r="B45"/>
      <c r="C45"/>
      <c r="D45"/>
      <c r="E45" s="1" t="s">
        <v>403</v>
      </c>
    </row>
    <row r="46" spans="1:5" x14ac:dyDescent="0.35">
      <c r="A46" s="28">
        <f t="shared" si="0"/>
        <v>0</v>
      </c>
      <c r="B46"/>
      <c r="C46"/>
      <c r="D46"/>
      <c r="E46" s="1" t="s">
        <v>403</v>
      </c>
    </row>
    <row r="47" spans="1:5" x14ac:dyDescent="0.35">
      <c r="A47" s="28">
        <f t="shared" si="0"/>
        <v>0</v>
      </c>
      <c r="B47"/>
      <c r="C47"/>
      <c r="D47"/>
      <c r="E47" s="1" t="s">
        <v>403</v>
      </c>
    </row>
    <row r="48" spans="1:5" x14ac:dyDescent="0.35">
      <c r="A48" s="28">
        <f t="shared" si="0"/>
        <v>0</v>
      </c>
      <c r="B48"/>
      <c r="C48"/>
      <c r="D48"/>
      <c r="E48" s="1" t="s">
        <v>403</v>
      </c>
    </row>
    <row r="49" spans="1:5" x14ac:dyDescent="0.35">
      <c r="A49" s="28">
        <f t="shared" si="0"/>
        <v>0</v>
      </c>
      <c r="B49"/>
      <c r="C49"/>
      <c r="D49"/>
      <c r="E49" s="1" t="s">
        <v>403</v>
      </c>
    </row>
    <row r="50" spans="1:5" x14ac:dyDescent="0.35">
      <c r="A50" s="28">
        <f t="shared" si="0"/>
        <v>0</v>
      </c>
      <c r="B50"/>
      <c r="C50"/>
      <c r="D50"/>
      <c r="E50" s="1" t="s">
        <v>403</v>
      </c>
    </row>
    <row r="51" spans="1:5" x14ac:dyDescent="0.35">
      <c r="A51" s="28">
        <f t="shared" si="0"/>
        <v>0</v>
      </c>
      <c r="B51"/>
      <c r="C51"/>
      <c r="D51"/>
      <c r="E51" s="1" t="s">
        <v>403</v>
      </c>
    </row>
    <row r="52" spans="1:5" x14ac:dyDescent="0.35">
      <c r="A52" s="28">
        <f t="shared" si="0"/>
        <v>0</v>
      </c>
      <c r="B52"/>
      <c r="C52"/>
      <c r="D52"/>
      <c r="E52" s="1" t="s">
        <v>403</v>
      </c>
    </row>
    <row r="53" spans="1:5" x14ac:dyDescent="0.35">
      <c r="A53" s="28">
        <f t="shared" si="0"/>
        <v>0</v>
      </c>
      <c r="B53"/>
      <c r="C53"/>
      <c r="D53"/>
      <c r="E53" s="1" t="s">
        <v>403</v>
      </c>
    </row>
    <row r="54" spans="1:5" x14ac:dyDescent="0.35">
      <c r="A54" s="28">
        <f t="shared" si="0"/>
        <v>0</v>
      </c>
      <c r="B54"/>
      <c r="C54"/>
      <c r="D54"/>
      <c r="E54" s="1" t="s">
        <v>403</v>
      </c>
    </row>
    <row r="55" spans="1:5" x14ac:dyDescent="0.35">
      <c r="A55" s="28">
        <f t="shared" si="0"/>
        <v>0</v>
      </c>
      <c r="B55"/>
      <c r="C55"/>
      <c r="D55"/>
      <c r="E55" s="1" t="s">
        <v>403</v>
      </c>
    </row>
    <row r="56" spans="1:5" x14ac:dyDescent="0.35">
      <c r="A56" s="28">
        <f t="shared" si="0"/>
        <v>0</v>
      </c>
      <c r="B56"/>
      <c r="C56"/>
      <c r="D56"/>
      <c r="E56" s="1" t="s">
        <v>403</v>
      </c>
    </row>
    <row r="57" spans="1:5" x14ac:dyDescent="0.35">
      <c r="A57" s="28">
        <f t="shared" si="0"/>
        <v>0</v>
      </c>
      <c r="B57"/>
      <c r="C57"/>
      <c r="D57"/>
      <c r="E57" s="1" t="s">
        <v>403</v>
      </c>
    </row>
    <row r="58" spans="1:5" x14ac:dyDescent="0.35">
      <c r="A58" s="28">
        <f t="shared" si="0"/>
        <v>0</v>
      </c>
      <c r="B58"/>
      <c r="C58"/>
      <c r="D58"/>
      <c r="E58" s="1" t="s">
        <v>403</v>
      </c>
    </row>
    <row r="59" spans="1:5" x14ac:dyDescent="0.35">
      <c r="A59" s="28">
        <f t="shared" si="0"/>
        <v>0</v>
      </c>
      <c r="B59"/>
      <c r="C59"/>
      <c r="D59"/>
      <c r="E59" s="1" t="s">
        <v>403</v>
      </c>
    </row>
    <row r="60" spans="1:5" x14ac:dyDescent="0.35">
      <c r="A60" s="28">
        <f t="shared" si="0"/>
        <v>0</v>
      </c>
      <c r="B60"/>
      <c r="C60"/>
      <c r="D60"/>
      <c r="E60" s="1" t="s">
        <v>403</v>
      </c>
    </row>
    <row r="61" spans="1:5" x14ac:dyDescent="0.35">
      <c r="A61" s="28">
        <f t="shared" si="0"/>
        <v>0</v>
      </c>
      <c r="B61"/>
      <c r="C61"/>
      <c r="D61"/>
      <c r="E61" s="1" t="s">
        <v>403</v>
      </c>
    </row>
    <row r="62" spans="1:5" x14ac:dyDescent="0.35">
      <c r="A62" s="28">
        <f t="shared" si="0"/>
        <v>0</v>
      </c>
      <c r="B62"/>
      <c r="C62"/>
      <c r="D62"/>
      <c r="E62" s="1" t="s">
        <v>403</v>
      </c>
    </row>
    <row r="63" spans="1:5" x14ac:dyDescent="0.35">
      <c r="A63" s="28">
        <f t="shared" si="0"/>
        <v>0</v>
      </c>
      <c r="B63"/>
      <c r="C63"/>
      <c r="D63"/>
      <c r="E63" s="1" t="s">
        <v>403</v>
      </c>
    </row>
    <row r="64" spans="1:5" x14ac:dyDescent="0.35">
      <c r="A64" s="28">
        <f t="shared" si="0"/>
        <v>0</v>
      </c>
      <c r="B64"/>
      <c r="C64"/>
      <c r="D64"/>
      <c r="E64" s="1" t="s">
        <v>403</v>
      </c>
    </row>
    <row r="65" spans="1:5" x14ac:dyDescent="0.35">
      <c r="A65" s="28">
        <f t="shared" si="0"/>
        <v>0</v>
      </c>
      <c r="B65"/>
      <c r="C65"/>
      <c r="D65"/>
      <c r="E65" s="1" t="s">
        <v>403</v>
      </c>
    </row>
    <row r="66" spans="1:5" x14ac:dyDescent="0.35">
      <c r="A66" s="28">
        <f t="shared" si="0"/>
        <v>0</v>
      </c>
      <c r="B66"/>
      <c r="C66"/>
      <c r="D66"/>
      <c r="E66" s="1" t="s">
        <v>403</v>
      </c>
    </row>
    <row r="67" spans="1:5" x14ac:dyDescent="0.35">
      <c r="A67" s="28">
        <f t="shared" si="0"/>
        <v>0</v>
      </c>
      <c r="B67"/>
      <c r="C67"/>
      <c r="D67"/>
      <c r="E67" s="1" t="s">
        <v>403</v>
      </c>
    </row>
    <row r="68" spans="1:5" x14ac:dyDescent="0.35">
      <c r="A68" s="28">
        <f t="shared" si="0"/>
        <v>0</v>
      </c>
      <c r="B68"/>
      <c r="C68"/>
      <c r="D68"/>
      <c r="E68" s="1" t="s">
        <v>403</v>
      </c>
    </row>
    <row r="69" spans="1:5" x14ac:dyDescent="0.35">
      <c r="A69" s="28">
        <f t="shared" si="0"/>
        <v>0</v>
      </c>
      <c r="B69"/>
      <c r="C69"/>
      <c r="D69"/>
      <c r="E69" s="1" t="s">
        <v>403</v>
      </c>
    </row>
    <row r="70" spans="1:5" x14ac:dyDescent="0.35">
      <c r="A70" s="28">
        <f t="shared" si="0"/>
        <v>0</v>
      </c>
      <c r="B70"/>
      <c r="C70"/>
      <c r="D70"/>
      <c r="E70" s="1" t="s">
        <v>403</v>
      </c>
    </row>
    <row r="71" spans="1:5" x14ac:dyDescent="0.35">
      <c r="A71" s="28">
        <f t="shared" si="0"/>
        <v>0</v>
      </c>
      <c r="B71"/>
      <c r="C71"/>
      <c r="D71"/>
      <c r="E71" s="1" t="s">
        <v>403</v>
      </c>
    </row>
    <row r="72" spans="1:5" x14ac:dyDescent="0.35">
      <c r="A72" s="28">
        <f t="shared" ref="A72:A135" si="1">IF(B72="",0,A71+1)</f>
        <v>0</v>
      </c>
      <c r="B72"/>
      <c r="C72"/>
      <c r="D72"/>
      <c r="E72" s="1" t="s">
        <v>403</v>
      </c>
    </row>
    <row r="73" spans="1:5" x14ac:dyDescent="0.35">
      <c r="A73" s="28">
        <f t="shared" si="1"/>
        <v>0</v>
      </c>
      <c r="B73"/>
      <c r="C73"/>
      <c r="D73"/>
      <c r="E73" s="1" t="s">
        <v>403</v>
      </c>
    </row>
    <row r="74" spans="1:5" x14ac:dyDescent="0.35">
      <c r="A74" s="28">
        <f t="shared" si="1"/>
        <v>0</v>
      </c>
      <c r="B74"/>
      <c r="C74"/>
      <c r="D74"/>
      <c r="E74" s="1" t="s">
        <v>403</v>
      </c>
    </row>
    <row r="75" spans="1:5" x14ac:dyDescent="0.35">
      <c r="A75" s="28">
        <f t="shared" si="1"/>
        <v>0</v>
      </c>
      <c r="B75"/>
      <c r="C75"/>
      <c r="D75"/>
      <c r="E75" s="1" t="s">
        <v>403</v>
      </c>
    </row>
    <row r="76" spans="1:5" x14ac:dyDescent="0.35">
      <c r="A76" s="28">
        <f t="shared" si="1"/>
        <v>0</v>
      </c>
      <c r="B76"/>
      <c r="C76"/>
      <c r="D76"/>
      <c r="E76" s="1" t="s">
        <v>403</v>
      </c>
    </row>
    <row r="77" spans="1:5" x14ac:dyDescent="0.35">
      <c r="A77" s="28">
        <f t="shared" si="1"/>
        <v>0</v>
      </c>
      <c r="B77"/>
      <c r="C77"/>
      <c r="D77"/>
      <c r="E77" s="1" t="s">
        <v>403</v>
      </c>
    </row>
    <row r="78" spans="1:5" x14ac:dyDescent="0.35">
      <c r="A78" s="28">
        <f t="shared" si="1"/>
        <v>0</v>
      </c>
      <c r="B78"/>
      <c r="C78"/>
      <c r="D78"/>
      <c r="E78" s="1" t="s">
        <v>403</v>
      </c>
    </row>
    <row r="79" spans="1:5" x14ac:dyDescent="0.35">
      <c r="A79" s="28">
        <f t="shared" si="1"/>
        <v>0</v>
      </c>
      <c r="B79"/>
      <c r="C79"/>
      <c r="D79"/>
      <c r="E79" s="1" t="s">
        <v>403</v>
      </c>
    </row>
    <row r="80" spans="1:5" x14ac:dyDescent="0.35">
      <c r="A80" s="28">
        <f t="shared" si="1"/>
        <v>0</v>
      </c>
      <c r="B80"/>
      <c r="C80"/>
      <c r="D80"/>
      <c r="E80" s="1" t="s">
        <v>403</v>
      </c>
    </row>
    <row r="81" spans="1:5" x14ac:dyDescent="0.35">
      <c r="A81" s="28">
        <f t="shared" si="1"/>
        <v>0</v>
      </c>
      <c r="B81"/>
      <c r="C81"/>
      <c r="D81"/>
      <c r="E81" s="1" t="s">
        <v>403</v>
      </c>
    </row>
    <row r="82" spans="1:5" x14ac:dyDescent="0.35">
      <c r="A82" s="28">
        <f t="shared" si="1"/>
        <v>0</v>
      </c>
      <c r="B82"/>
      <c r="C82"/>
      <c r="D82"/>
      <c r="E82" s="1" t="s">
        <v>403</v>
      </c>
    </row>
    <row r="83" spans="1:5" x14ac:dyDescent="0.35">
      <c r="A83" s="28">
        <f t="shared" si="1"/>
        <v>0</v>
      </c>
      <c r="B83"/>
      <c r="C83"/>
      <c r="D83"/>
      <c r="E83" s="1" t="s">
        <v>403</v>
      </c>
    </row>
    <row r="84" spans="1:5" x14ac:dyDescent="0.35">
      <c r="A84" s="28">
        <f t="shared" si="1"/>
        <v>0</v>
      </c>
      <c r="B84"/>
      <c r="C84"/>
      <c r="D84"/>
      <c r="E84" s="1" t="s">
        <v>403</v>
      </c>
    </row>
    <row r="85" spans="1:5" x14ac:dyDescent="0.35">
      <c r="A85" s="28">
        <f t="shared" si="1"/>
        <v>0</v>
      </c>
      <c r="B85"/>
      <c r="C85"/>
      <c r="D85"/>
      <c r="E85" s="1" t="s">
        <v>403</v>
      </c>
    </row>
    <row r="86" spans="1:5" x14ac:dyDescent="0.35">
      <c r="A86" s="28">
        <f t="shared" si="1"/>
        <v>0</v>
      </c>
      <c r="B86"/>
      <c r="C86"/>
      <c r="D86"/>
      <c r="E86" s="1" t="s">
        <v>403</v>
      </c>
    </row>
    <row r="87" spans="1:5" x14ac:dyDescent="0.35">
      <c r="A87" s="28">
        <f t="shared" si="1"/>
        <v>0</v>
      </c>
      <c r="B87"/>
      <c r="C87"/>
      <c r="D87"/>
      <c r="E87" s="1" t="s">
        <v>403</v>
      </c>
    </row>
    <row r="88" spans="1:5" x14ac:dyDescent="0.35">
      <c r="A88" s="28">
        <f t="shared" si="1"/>
        <v>0</v>
      </c>
      <c r="B88"/>
      <c r="C88"/>
      <c r="D88"/>
      <c r="E88" s="1" t="s">
        <v>403</v>
      </c>
    </row>
    <row r="89" spans="1:5" x14ac:dyDescent="0.35">
      <c r="A89" s="28">
        <f t="shared" si="1"/>
        <v>0</v>
      </c>
      <c r="B89"/>
      <c r="C89"/>
      <c r="D89"/>
      <c r="E89" s="1" t="s">
        <v>403</v>
      </c>
    </row>
    <row r="90" spans="1:5" x14ac:dyDescent="0.35">
      <c r="A90" s="28">
        <f t="shared" si="1"/>
        <v>0</v>
      </c>
      <c r="B90"/>
      <c r="C90"/>
      <c r="D90"/>
      <c r="E90" s="1" t="s">
        <v>403</v>
      </c>
    </row>
    <row r="91" spans="1:5" x14ac:dyDescent="0.35">
      <c r="A91" s="28">
        <f t="shared" si="1"/>
        <v>0</v>
      </c>
      <c r="B91"/>
      <c r="C91"/>
      <c r="D91"/>
      <c r="E91" s="1" t="s">
        <v>403</v>
      </c>
    </row>
    <row r="92" spans="1:5" x14ac:dyDescent="0.35">
      <c r="A92" s="28">
        <f t="shared" si="1"/>
        <v>0</v>
      </c>
      <c r="B92"/>
      <c r="C92"/>
      <c r="D92"/>
      <c r="E92" s="1" t="s">
        <v>403</v>
      </c>
    </row>
    <row r="93" spans="1:5" x14ac:dyDescent="0.35">
      <c r="A93" s="28">
        <f t="shared" si="1"/>
        <v>0</v>
      </c>
      <c r="B93"/>
      <c r="C93"/>
      <c r="D93"/>
      <c r="E93" s="1" t="s">
        <v>403</v>
      </c>
    </row>
    <row r="94" spans="1:5" x14ac:dyDescent="0.35">
      <c r="A94" s="28">
        <f t="shared" si="1"/>
        <v>0</v>
      </c>
      <c r="B94"/>
      <c r="C94"/>
      <c r="D94"/>
      <c r="E94" s="1" t="s">
        <v>403</v>
      </c>
    </row>
    <row r="95" spans="1:5" x14ac:dyDescent="0.35">
      <c r="A95" s="28">
        <f t="shared" si="1"/>
        <v>0</v>
      </c>
      <c r="B95"/>
      <c r="C95"/>
      <c r="D95"/>
      <c r="E95" s="1" t="s">
        <v>403</v>
      </c>
    </row>
    <row r="96" spans="1:5" x14ac:dyDescent="0.35">
      <c r="A96" s="28">
        <f t="shared" si="1"/>
        <v>0</v>
      </c>
      <c r="B96"/>
      <c r="C96"/>
      <c r="D96"/>
      <c r="E96" s="1" t="s">
        <v>403</v>
      </c>
    </row>
    <row r="97" spans="1:5" x14ac:dyDescent="0.35">
      <c r="A97" s="28">
        <f t="shared" si="1"/>
        <v>0</v>
      </c>
      <c r="B97"/>
      <c r="C97"/>
      <c r="D97"/>
      <c r="E97" s="1" t="s">
        <v>403</v>
      </c>
    </row>
    <row r="98" spans="1:5" x14ac:dyDescent="0.35">
      <c r="A98" s="28">
        <f t="shared" si="1"/>
        <v>0</v>
      </c>
      <c r="B98"/>
      <c r="C98"/>
      <c r="D98"/>
      <c r="E98" s="1" t="s">
        <v>403</v>
      </c>
    </row>
    <row r="99" spans="1:5" x14ac:dyDescent="0.35">
      <c r="A99" s="28">
        <f t="shared" si="1"/>
        <v>0</v>
      </c>
      <c r="B99"/>
      <c r="C99"/>
      <c r="D99"/>
      <c r="E99" s="1" t="s">
        <v>403</v>
      </c>
    </row>
    <row r="100" spans="1:5" x14ac:dyDescent="0.35">
      <c r="A100" s="28">
        <f t="shared" si="1"/>
        <v>0</v>
      </c>
      <c r="B100"/>
      <c r="C100"/>
      <c r="D100"/>
      <c r="E100" s="1" t="s">
        <v>403</v>
      </c>
    </row>
    <row r="101" spans="1:5" x14ac:dyDescent="0.35">
      <c r="A101" s="28">
        <f t="shared" si="1"/>
        <v>0</v>
      </c>
      <c r="B101"/>
      <c r="C101"/>
      <c r="D101"/>
      <c r="E101" s="1" t="s">
        <v>403</v>
      </c>
    </row>
    <row r="102" spans="1:5" x14ac:dyDescent="0.35">
      <c r="A102" s="28">
        <f t="shared" si="1"/>
        <v>0</v>
      </c>
      <c r="B102"/>
      <c r="C102"/>
      <c r="D102"/>
      <c r="E102" s="1" t="s">
        <v>403</v>
      </c>
    </row>
    <row r="103" spans="1:5" x14ac:dyDescent="0.35">
      <c r="A103" s="28">
        <f t="shared" si="1"/>
        <v>0</v>
      </c>
      <c r="B103"/>
      <c r="C103"/>
      <c r="D103"/>
      <c r="E103" s="1" t="s">
        <v>403</v>
      </c>
    </row>
    <row r="104" spans="1:5" x14ac:dyDescent="0.35">
      <c r="A104" s="28">
        <f t="shared" si="1"/>
        <v>0</v>
      </c>
      <c r="B104"/>
      <c r="C104"/>
      <c r="D104"/>
      <c r="E104" s="1" t="s">
        <v>403</v>
      </c>
    </row>
    <row r="105" spans="1:5" x14ac:dyDescent="0.35">
      <c r="A105" s="28">
        <f t="shared" si="1"/>
        <v>0</v>
      </c>
      <c r="B105"/>
      <c r="C105"/>
      <c r="D105"/>
      <c r="E105" s="1" t="s">
        <v>403</v>
      </c>
    </row>
    <row r="106" spans="1:5" x14ac:dyDescent="0.35">
      <c r="A106" s="28">
        <f t="shared" si="1"/>
        <v>0</v>
      </c>
      <c r="B106"/>
      <c r="C106"/>
      <c r="D106"/>
      <c r="E106" s="1" t="s">
        <v>403</v>
      </c>
    </row>
    <row r="107" spans="1:5" x14ac:dyDescent="0.35">
      <c r="A107" s="28">
        <f t="shared" si="1"/>
        <v>0</v>
      </c>
      <c r="B107"/>
      <c r="C107"/>
      <c r="D107"/>
      <c r="E107" s="1" t="s">
        <v>403</v>
      </c>
    </row>
    <row r="108" spans="1:5" x14ac:dyDescent="0.35">
      <c r="A108" s="28">
        <f t="shared" si="1"/>
        <v>0</v>
      </c>
      <c r="B108"/>
      <c r="C108"/>
      <c r="D108"/>
      <c r="E108" s="1" t="s">
        <v>403</v>
      </c>
    </row>
    <row r="109" spans="1:5" x14ac:dyDescent="0.35">
      <c r="A109" s="28">
        <f t="shared" si="1"/>
        <v>0</v>
      </c>
      <c r="B109"/>
      <c r="C109"/>
      <c r="D109"/>
      <c r="E109" s="1" t="s">
        <v>403</v>
      </c>
    </row>
    <row r="110" spans="1:5" x14ac:dyDescent="0.35">
      <c r="A110" s="28">
        <f t="shared" si="1"/>
        <v>0</v>
      </c>
      <c r="B110"/>
      <c r="C110"/>
      <c r="D110"/>
      <c r="E110" s="1" t="s">
        <v>403</v>
      </c>
    </row>
    <row r="111" spans="1:5" x14ac:dyDescent="0.35">
      <c r="A111" s="28">
        <f t="shared" si="1"/>
        <v>0</v>
      </c>
      <c r="B111"/>
      <c r="C111"/>
      <c r="D111"/>
      <c r="E111" s="1" t="s">
        <v>403</v>
      </c>
    </row>
    <row r="112" spans="1:5" x14ac:dyDescent="0.35">
      <c r="A112" s="28">
        <f t="shared" si="1"/>
        <v>0</v>
      </c>
      <c r="B112"/>
      <c r="C112"/>
      <c r="D112"/>
      <c r="E112" s="1" t="s">
        <v>403</v>
      </c>
    </row>
    <row r="113" spans="1:5" x14ac:dyDescent="0.35">
      <c r="A113" s="28">
        <f t="shared" si="1"/>
        <v>0</v>
      </c>
      <c r="B113"/>
      <c r="C113"/>
      <c r="D113"/>
      <c r="E113" s="1" t="s">
        <v>403</v>
      </c>
    </row>
    <row r="114" spans="1:5" x14ac:dyDescent="0.35">
      <c r="A114" s="28">
        <f t="shared" si="1"/>
        <v>0</v>
      </c>
      <c r="B114"/>
      <c r="C114"/>
      <c r="D114"/>
      <c r="E114" s="1" t="s">
        <v>403</v>
      </c>
    </row>
    <row r="115" spans="1:5" x14ac:dyDescent="0.35">
      <c r="A115" s="28">
        <f t="shared" si="1"/>
        <v>0</v>
      </c>
      <c r="B115"/>
      <c r="C115"/>
      <c r="D115"/>
      <c r="E115" s="1" t="s">
        <v>403</v>
      </c>
    </row>
    <row r="116" spans="1:5" x14ac:dyDescent="0.35">
      <c r="A116" s="28">
        <f t="shared" si="1"/>
        <v>0</v>
      </c>
      <c r="B116"/>
      <c r="C116"/>
      <c r="D116"/>
      <c r="E116" s="1" t="s">
        <v>403</v>
      </c>
    </row>
    <row r="117" spans="1:5" x14ac:dyDescent="0.35">
      <c r="A117" s="28">
        <f t="shared" si="1"/>
        <v>0</v>
      </c>
      <c r="B117"/>
      <c r="C117"/>
      <c r="D117"/>
      <c r="E117" s="1" t="s">
        <v>403</v>
      </c>
    </row>
    <row r="118" spans="1:5" x14ac:dyDescent="0.35">
      <c r="A118" s="28">
        <f t="shared" si="1"/>
        <v>0</v>
      </c>
      <c r="B118"/>
      <c r="C118"/>
      <c r="D118"/>
      <c r="E118" s="1" t="s">
        <v>403</v>
      </c>
    </row>
    <row r="119" spans="1:5" x14ac:dyDescent="0.35">
      <c r="A119" s="28">
        <f t="shared" si="1"/>
        <v>0</v>
      </c>
      <c r="B119"/>
      <c r="C119"/>
      <c r="D119"/>
      <c r="E119" s="1" t="s">
        <v>403</v>
      </c>
    </row>
    <row r="120" spans="1:5" x14ac:dyDescent="0.35">
      <c r="A120" s="28">
        <f t="shared" si="1"/>
        <v>0</v>
      </c>
      <c r="B120"/>
      <c r="C120"/>
      <c r="D120"/>
      <c r="E120" s="1" t="s">
        <v>403</v>
      </c>
    </row>
    <row r="121" spans="1:5" x14ac:dyDescent="0.35">
      <c r="A121" s="28">
        <f t="shared" si="1"/>
        <v>0</v>
      </c>
      <c r="B121"/>
      <c r="C121"/>
      <c r="D121"/>
      <c r="E121" s="1" t="s">
        <v>403</v>
      </c>
    </row>
    <row r="122" spans="1:5" x14ac:dyDescent="0.35">
      <c r="A122" s="28">
        <f t="shared" si="1"/>
        <v>0</v>
      </c>
      <c r="B122"/>
      <c r="C122"/>
      <c r="D122"/>
      <c r="E122" s="1" t="s">
        <v>403</v>
      </c>
    </row>
    <row r="123" spans="1:5" x14ac:dyDescent="0.35">
      <c r="A123" s="28">
        <f t="shared" si="1"/>
        <v>0</v>
      </c>
      <c r="B123"/>
      <c r="C123"/>
      <c r="D123"/>
      <c r="E123" s="1" t="s">
        <v>403</v>
      </c>
    </row>
    <row r="124" spans="1:5" x14ac:dyDescent="0.35">
      <c r="A124" s="28">
        <f t="shared" si="1"/>
        <v>0</v>
      </c>
      <c r="B124"/>
      <c r="C124"/>
      <c r="D124"/>
      <c r="E124" s="1" t="s">
        <v>403</v>
      </c>
    </row>
    <row r="125" spans="1:5" x14ac:dyDescent="0.35">
      <c r="A125" s="28">
        <f t="shared" si="1"/>
        <v>0</v>
      </c>
      <c r="B125"/>
      <c r="C125"/>
      <c r="D125"/>
      <c r="E125" s="1" t="s">
        <v>403</v>
      </c>
    </row>
    <row r="126" spans="1:5" x14ac:dyDescent="0.35">
      <c r="A126" s="28">
        <f t="shared" si="1"/>
        <v>0</v>
      </c>
      <c r="B126"/>
      <c r="C126"/>
      <c r="D126"/>
      <c r="E126" s="1" t="s">
        <v>403</v>
      </c>
    </row>
    <row r="127" spans="1:5" x14ac:dyDescent="0.35">
      <c r="A127" s="28">
        <f t="shared" si="1"/>
        <v>0</v>
      </c>
      <c r="B127"/>
      <c r="C127"/>
      <c r="D127"/>
      <c r="E127" s="1" t="s">
        <v>403</v>
      </c>
    </row>
    <row r="128" spans="1:5" x14ac:dyDescent="0.35">
      <c r="A128" s="28">
        <f t="shared" si="1"/>
        <v>0</v>
      </c>
      <c r="B128"/>
      <c r="C128"/>
      <c r="D128"/>
      <c r="E128" s="1" t="s">
        <v>403</v>
      </c>
    </row>
    <row r="129" spans="1:5" x14ac:dyDescent="0.35">
      <c r="A129" s="28">
        <f t="shared" si="1"/>
        <v>0</v>
      </c>
      <c r="B129"/>
      <c r="C129"/>
      <c r="D129"/>
      <c r="E129" s="1" t="s">
        <v>403</v>
      </c>
    </row>
    <row r="130" spans="1:5" x14ac:dyDescent="0.35">
      <c r="A130" s="28">
        <f t="shared" si="1"/>
        <v>0</v>
      </c>
      <c r="B130"/>
      <c r="C130"/>
      <c r="D130"/>
      <c r="E130" s="1" t="s">
        <v>403</v>
      </c>
    </row>
    <row r="131" spans="1:5" x14ac:dyDescent="0.35">
      <c r="A131" s="28">
        <f t="shared" si="1"/>
        <v>0</v>
      </c>
      <c r="B131"/>
      <c r="C131"/>
      <c r="D131"/>
      <c r="E131" s="1" t="s">
        <v>403</v>
      </c>
    </row>
    <row r="132" spans="1:5" x14ac:dyDescent="0.35">
      <c r="A132" s="28">
        <f t="shared" si="1"/>
        <v>0</v>
      </c>
      <c r="B132"/>
      <c r="C132"/>
      <c r="D132"/>
      <c r="E132" s="1" t="s">
        <v>403</v>
      </c>
    </row>
    <row r="133" spans="1:5" x14ac:dyDescent="0.35">
      <c r="A133" s="28">
        <f t="shared" si="1"/>
        <v>0</v>
      </c>
      <c r="B133"/>
      <c r="C133"/>
      <c r="D133"/>
      <c r="E133" s="1" t="s">
        <v>403</v>
      </c>
    </row>
    <row r="134" spans="1:5" x14ac:dyDescent="0.35">
      <c r="A134" s="28">
        <f t="shared" si="1"/>
        <v>0</v>
      </c>
      <c r="B134"/>
      <c r="C134"/>
      <c r="D134"/>
      <c r="E134" s="1" t="s">
        <v>403</v>
      </c>
    </row>
    <row r="135" spans="1:5" x14ac:dyDescent="0.35">
      <c r="A135" s="28">
        <f t="shared" si="1"/>
        <v>0</v>
      </c>
      <c r="B135"/>
      <c r="C135"/>
      <c r="D135"/>
      <c r="E135" s="1" t="s">
        <v>403</v>
      </c>
    </row>
    <row r="136" spans="1:5" x14ac:dyDescent="0.35">
      <c r="A136" s="28">
        <f t="shared" ref="A136:A199" si="2">IF(B136="",0,A135+1)</f>
        <v>0</v>
      </c>
      <c r="B136"/>
      <c r="C136"/>
      <c r="D136"/>
      <c r="E136" s="1" t="s">
        <v>403</v>
      </c>
    </row>
    <row r="137" spans="1:5" x14ac:dyDescent="0.35">
      <c r="A137" s="28">
        <f t="shared" si="2"/>
        <v>0</v>
      </c>
      <c r="B137"/>
      <c r="C137"/>
      <c r="D137"/>
      <c r="E137" s="1" t="s">
        <v>403</v>
      </c>
    </row>
    <row r="138" spans="1:5" x14ac:dyDescent="0.35">
      <c r="A138" s="28">
        <f t="shared" si="2"/>
        <v>0</v>
      </c>
      <c r="B138"/>
      <c r="C138"/>
      <c r="D138"/>
      <c r="E138" s="1" t="s">
        <v>403</v>
      </c>
    </row>
    <row r="139" spans="1:5" x14ac:dyDescent="0.35">
      <c r="A139" s="28">
        <f t="shared" si="2"/>
        <v>0</v>
      </c>
      <c r="B139"/>
      <c r="C139"/>
      <c r="D139"/>
      <c r="E139" s="1" t="s">
        <v>403</v>
      </c>
    </row>
    <row r="140" spans="1:5" x14ac:dyDescent="0.35">
      <c r="A140" s="28">
        <f t="shared" si="2"/>
        <v>0</v>
      </c>
      <c r="B140"/>
      <c r="C140"/>
      <c r="D140"/>
      <c r="E140" s="1" t="s">
        <v>403</v>
      </c>
    </row>
    <row r="141" spans="1:5" x14ac:dyDescent="0.35">
      <c r="A141" s="28">
        <f t="shared" si="2"/>
        <v>0</v>
      </c>
      <c r="B141"/>
      <c r="C141"/>
      <c r="D141"/>
      <c r="E141" s="1" t="s">
        <v>403</v>
      </c>
    </row>
    <row r="142" spans="1:5" x14ac:dyDescent="0.35">
      <c r="A142" s="28">
        <f t="shared" si="2"/>
        <v>0</v>
      </c>
      <c r="B142"/>
      <c r="C142"/>
      <c r="D142"/>
      <c r="E142" s="1" t="s">
        <v>403</v>
      </c>
    </row>
    <row r="143" spans="1:5" x14ac:dyDescent="0.35">
      <c r="A143" s="28">
        <f t="shared" si="2"/>
        <v>0</v>
      </c>
      <c r="B143"/>
      <c r="C143"/>
      <c r="D143"/>
      <c r="E143" s="1" t="s">
        <v>403</v>
      </c>
    </row>
    <row r="144" spans="1:5" x14ac:dyDescent="0.35">
      <c r="A144" s="28">
        <f t="shared" si="2"/>
        <v>0</v>
      </c>
      <c r="B144"/>
      <c r="C144"/>
      <c r="D144"/>
      <c r="E144" s="1" t="s">
        <v>403</v>
      </c>
    </row>
    <row r="145" spans="1:5" x14ac:dyDescent="0.35">
      <c r="A145" s="28">
        <f t="shared" si="2"/>
        <v>0</v>
      </c>
      <c r="B145"/>
      <c r="C145"/>
      <c r="D145"/>
      <c r="E145" s="1" t="s">
        <v>403</v>
      </c>
    </row>
    <row r="146" spans="1:5" x14ac:dyDescent="0.35">
      <c r="A146" s="28">
        <f t="shared" si="2"/>
        <v>0</v>
      </c>
      <c r="B146"/>
      <c r="C146"/>
      <c r="D146"/>
      <c r="E146" s="1" t="s">
        <v>403</v>
      </c>
    </row>
    <row r="147" spans="1:5" x14ac:dyDescent="0.35">
      <c r="A147" s="28">
        <f t="shared" si="2"/>
        <v>0</v>
      </c>
      <c r="B147"/>
      <c r="C147"/>
      <c r="D147"/>
      <c r="E147" s="1" t="s">
        <v>403</v>
      </c>
    </row>
    <row r="148" spans="1:5" x14ac:dyDescent="0.35">
      <c r="A148" s="28">
        <f t="shared" si="2"/>
        <v>0</v>
      </c>
      <c r="B148"/>
      <c r="C148"/>
      <c r="D148"/>
      <c r="E148" s="1" t="s">
        <v>403</v>
      </c>
    </row>
    <row r="149" spans="1:5" x14ac:dyDescent="0.35">
      <c r="A149" s="28">
        <f t="shared" si="2"/>
        <v>0</v>
      </c>
      <c r="B149"/>
      <c r="C149"/>
      <c r="D149"/>
      <c r="E149" s="1" t="s">
        <v>403</v>
      </c>
    </row>
    <row r="150" spans="1:5" x14ac:dyDescent="0.35">
      <c r="A150" s="28">
        <f t="shared" si="2"/>
        <v>0</v>
      </c>
      <c r="B150"/>
      <c r="C150"/>
      <c r="D150"/>
      <c r="E150" s="1" t="s">
        <v>403</v>
      </c>
    </row>
    <row r="151" spans="1:5" x14ac:dyDescent="0.35">
      <c r="A151" s="28">
        <f t="shared" si="2"/>
        <v>0</v>
      </c>
      <c r="B151"/>
      <c r="C151"/>
      <c r="D151"/>
      <c r="E151" s="1" t="s">
        <v>403</v>
      </c>
    </row>
    <row r="152" spans="1:5" x14ac:dyDescent="0.35">
      <c r="A152" s="28">
        <f t="shared" si="2"/>
        <v>0</v>
      </c>
      <c r="B152"/>
      <c r="C152"/>
      <c r="D152"/>
      <c r="E152" s="1" t="s">
        <v>403</v>
      </c>
    </row>
    <row r="153" spans="1:5" x14ac:dyDescent="0.35">
      <c r="A153" s="28">
        <f t="shared" si="2"/>
        <v>0</v>
      </c>
      <c r="B153"/>
      <c r="C153"/>
      <c r="D153"/>
      <c r="E153" s="1" t="s">
        <v>403</v>
      </c>
    </row>
    <row r="154" spans="1:5" x14ac:dyDescent="0.35">
      <c r="A154" s="28">
        <f t="shared" si="2"/>
        <v>0</v>
      </c>
      <c r="B154"/>
      <c r="C154"/>
      <c r="D154"/>
      <c r="E154" s="1" t="s">
        <v>403</v>
      </c>
    </row>
    <row r="155" spans="1:5" x14ac:dyDescent="0.35">
      <c r="A155" s="28">
        <f t="shared" si="2"/>
        <v>0</v>
      </c>
      <c r="B155"/>
      <c r="C155"/>
      <c r="D155"/>
      <c r="E155" s="1" t="s">
        <v>403</v>
      </c>
    </row>
    <row r="156" spans="1:5" x14ac:dyDescent="0.35">
      <c r="A156" s="28">
        <f t="shared" si="2"/>
        <v>0</v>
      </c>
      <c r="B156"/>
      <c r="C156"/>
      <c r="D156"/>
      <c r="E156" s="1" t="s">
        <v>403</v>
      </c>
    </row>
    <row r="157" spans="1:5" x14ac:dyDescent="0.35">
      <c r="A157" s="28">
        <f t="shared" si="2"/>
        <v>0</v>
      </c>
      <c r="B157"/>
      <c r="C157"/>
      <c r="D157"/>
      <c r="E157" s="1" t="s">
        <v>403</v>
      </c>
    </row>
    <row r="158" spans="1:5" x14ac:dyDescent="0.35">
      <c r="A158" s="28">
        <f t="shared" si="2"/>
        <v>0</v>
      </c>
      <c r="B158"/>
      <c r="C158"/>
      <c r="D158"/>
      <c r="E158" s="1" t="s">
        <v>403</v>
      </c>
    </row>
    <row r="159" spans="1:5" x14ac:dyDescent="0.35">
      <c r="A159" s="28">
        <f t="shared" si="2"/>
        <v>0</v>
      </c>
      <c r="B159"/>
      <c r="C159"/>
      <c r="D159"/>
      <c r="E159" s="1" t="s">
        <v>403</v>
      </c>
    </row>
    <row r="160" spans="1:5" x14ac:dyDescent="0.35">
      <c r="A160" s="28">
        <f t="shared" si="2"/>
        <v>0</v>
      </c>
      <c r="B160"/>
      <c r="C160"/>
      <c r="D160"/>
      <c r="E160" s="1" t="s">
        <v>403</v>
      </c>
    </row>
    <row r="161" spans="1:5" x14ac:dyDescent="0.35">
      <c r="A161" s="28">
        <f t="shared" si="2"/>
        <v>0</v>
      </c>
      <c r="B161"/>
      <c r="C161"/>
      <c r="D161"/>
      <c r="E161" s="1" t="s">
        <v>403</v>
      </c>
    </row>
    <row r="162" spans="1:5" x14ac:dyDescent="0.35">
      <c r="A162" s="28">
        <f t="shared" si="2"/>
        <v>0</v>
      </c>
      <c r="B162"/>
      <c r="C162"/>
      <c r="D162"/>
      <c r="E162" s="1" t="s">
        <v>403</v>
      </c>
    </row>
    <row r="163" spans="1:5" x14ac:dyDescent="0.35">
      <c r="A163" s="28">
        <f t="shared" si="2"/>
        <v>0</v>
      </c>
      <c r="B163"/>
      <c r="C163"/>
      <c r="D163"/>
      <c r="E163" s="1" t="s">
        <v>403</v>
      </c>
    </row>
    <row r="164" spans="1:5" x14ac:dyDescent="0.35">
      <c r="A164" s="28">
        <f t="shared" si="2"/>
        <v>0</v>
      </c>
      <c r="B164"/>
      <c r="C164"/>
      <c r="D164"/>
      <c r="E164" s="1" t="s">
        <v>403</v>
      </c>
    </row>
    <row r="165" spans="1:5" x14ac:dyDescent="0.35">
      <c r="A165" s="28">
        <f t="shared" si="2"/>
        <v>0</v>
      </c>
      <c r="B165"/>
      <c r="C165"/>
      <c r="D165"/>
      <c r="E165" s="1" t="s">
        <v>403</v>
      </c>
    </row>
    <row r="166" spans="1:5" x14ac:dyDescent="0.35">
      <c r="A166" s="28">
        <f t="shared" si="2"/>
        <v>0</v>
      </c>
      <c r="B166"/>
      <c r="C166"/>
      <c r="D166"/>
      <c r="E166" s="1" t="s">
        <v>403</v>
      </c>
    </row>
    <row r="167" spans="1:5" x14ac:dyDescent="0.35">
      <c r="A167" s="28">
        <f t="shared" si="2"/>
        <v>0</v>
      </c>
      <c r="B167"/>
      <c r="C167"/>
      <c r="D167"/>
      <c r="E167" s="1" t="s">
        <v>403</v>
      </c>
    </row>
    <row r="168" spans="1:5" x14ac:dyDescent="0.35">
      <c r="A168" s="28">
        <f t="shared" si="2"/>
        <v>0</v>
      </c>
      <c r="B168"/>
      <c r="C168"/>
      <c r="D168"/>
      <c r="E168" s="1" t="s">
        <v>403</v>
      </c>
    </row>
    <row r="169" spans="1:5" x14ac:dyDescent="0.35">
      <c r="A169" s="28">
        <f t="shared" si="2"/>
        <v>0</v>
      </c>
      <c r="B169"/>
      <c r="C169"/>
      <c r="D169"/>
      <c r="E169" s="1" t="s">
        <v>403</v>
      </c>
    </row>
    <row r="170" spans="1:5" x14ac:dyDescent="0.35">
      <c r="A170" s="28">
        <f t="shared" si="2"/>
        <v>0</v>
      </c>
      <c r="B170"/>
      <c r="C170"/>
      <c r="D170"/>
      <c r="E170" s="1" t="s">
        <v>403</v>
      </c>
    </row>
    <row r="171" spans="1:5" x14ac:dyDescent="0.35">
      <c r="A171" s="28">
        <f t="shared" si="2"/>
        <v>0</v>
      </c>
      <c r="B171"/>
      <c r="C171"/>
      <c r="D171"/>
      <c r="E171" s="1" t="s">
        <v>403</v>
      </c>
    </row>
    <row r="172" spans="1:5" x14ac:dyDescent="0.35">
      <c r="A172" s="28">
        <f t="shared" si="2"/>
        <v>0</v>
      </c>
      <c r="B172"/>
      <c r="C172"/>
      <c r="D172"/>
      <c r="E172" s="1" t="s">
        <v>403</v>
      </c>
    </row>
    <row r="173" spans="1:5" x14ac:dyDescent="0.35">
      <c r="A173" s="28">
        <f t="shared" si="2"/>
        <v>0</v>
      </c>
      <c r="B173"/>
      <c r="C173"/>
      <c r="D173"/>
      <c r="E173" s="1" t="s">
        <v>403</v>
      </c>
    </row>
    <row r="174" spans="1:5" x14ac:dyDescent="0.35">
      <c r="A174" s="28">
        <f t="shared" si="2"/>
        <v>0</v>
      </c>
      <c r="B174"/>
      <c r="C174"/>
      <c r="D174"/>
      <c r="E174" s="1" t="s">
        <v>403</v>
      </c>
    </row>
    <row r="175" spans="1:5" x14ac:dyDescent="0.35">
      <c r="A175" s="28">
        <f t="shared" si="2"/>
        <v>0</v>
      </c>
      <c r="B175"/>
      <c r="C175"/>
      <c r="D175"/>
      <c r="E175" s="1" t="s">
        <v>403</v>
      </c>
    </row>
    <row r="176" spans="1:5" x14ac:dyDescent="0.35">
      <c r="A176" s="28">
        <f t="shared" si="2"/>
        <v>0</v>
      </c>
      <c r="B176"/>
      <c r="C176"/>
      <c r="D176"/>
      <c r="E176" s="1" t="s">
        <v>403</v>
      </c>
    </row>
    <row r="177" spans="1:5" x14ac:dyDescent="0.35">
      <c r="A177" s="28">
        <f t="shared" si="2"/>
        <v>0</v>
      </c>
      <c r="B177"/>
      <c r="C177"/>
      <c r="D177"/>
      <c r="E177" s="1" t="s">
        <v>403</v>
      </c>
    </row>
    <row r="178" spans="1:5" x14ac:dyDescent="0.35">
      <c r="A178" s="28">
        <f t="shared" si="2"/>
        <v>0</v>
      </c>
      <c r="B178"/>
      <c r="C178"/>
      <c r="D178"/>
      <c r="E178" s="1" t="s">
        <v>403</v>
      </c>
    </row>
    <row r="179" spans="1:5" x14ac:dyDescent="0.35">
      <c r="A179" s="28">
        <f t="shared" si="2"/>
        <v>0</v>
      </c>
      <c r="B179"/>
      <c r="C179"/>
      <c r="D179"/>
      <c r="E179" s="1" t="s">
        <v>403</v>
      </c>
    </row>
    <row r="180" spans="1:5" x14ac:dyDescent="0.35">
      <c r="A180" s="28">
        <f t="shared" si="2"/>
        <v>0</v>
      </c>
      <c r="B180"/>
      <c r="C180"/>
      <c r="D180"/>
      <c r="E180" s="1" t="s">
        <v>403</v>
      </c>
    </row>
    <row r="181" spans="1:5" x14ac:dyDescent="0.35">
      <c r="A181" s="28">
        <f t="shared" si="2"/>
        <v>0</v>
      </c>
      <c r="B181"/>
      <c r="C181"/>
      <c r="D181"/>
      <c r="E181" s="1" t="s">
        <v>403</v>
      </c>
    </row>
    <row r="182" spans="1:5" x14ac:dyDescent="0.35">
      <c r="A182" s="28">
        <f t="shared" si="2"/>
        <v>0</v>
      </c>
      <c r="B182"/>
      <c r="C182"/>
      <c r="D182"/>
      <c r="E182" s="1" t="s">
        <v>403</v>
      </c>
    </row>
    <row r="183" spans="1:5" x14ac:dyDescent="0.35">
      <c r="A183" s="28">
        <f t="shared" si="2"/>
        <v>0</v>
      </c>
      <c r="B183"/>
      <c r="C183"/>
      <c r="D183"/>
      <c r="E183" s="1" t="s">
        <v>403</v>
      </c>
    </row>
    <row r="184" spans="1:5" x14ac:dyDescent="0.35">
      <c r="A184" s="28">
        <f t="shared" si="2"/>
        <v>0</v>
      </c>
      <c r="B184"/>
      <c r="C184"/>
      <c r="D184"/>
      <c r="E184" s="1" t="s">
        <v>403</v>
      </c>
    </row>
    <row r="185" spans="1:5" x14ac:dyDescent="0.35">
      <c r="A185" s="28">
        <f t="shared" si="2"/>
        <v>0</v>
      </c>
      <c r="B185"/>
      <c r="C185"/>
      <c r="D185"/>
      <c r="E185" s="1" t="s">
        <v>403</v>
      </c>
    </row>
    <row r="186" spans="1:5" x14ac:dyDescent="0.35">
      <c r="A186" s="28">
        <f t="shared" si="2"/>
        <v>0</v>
      </c>
      <c r="B186"/>
      <c r="C186"/>
      <c r="D186"/>
      <c r="E186" s="1" t="s">
        <v>403</v>
      </c>
    </row>
    <row r="187" spans="1:5" x14ac:dyDescent="0.35">
      <c r="A187" s="28">
        <f t="shared" si="2"/>
        <v>0</v>
      </c>
      <c r="B187"/>
      <c r="C187"/>
      <c r="D187"/>
      <c r="E187" s="1" t="s">
        <v>403</v>
      </c>
    </row>
    <row r="188" spans="1:5" x14ac:dyDescent="0.35">
      <c r="A188" s="28">
        <f t="shared" si="2"/>
        <v>0</v>
      </c>
      <c r="B188"/>
      <c r="C188"/>
      <c r="D188"/>
      <c r="E188" s="1" t="s">
        <v>403</v>
      </c>
    </row>
    <row r="189" spans="1:5" x14ac:dyDescent="0.35">
      <c r="A189" s="28">
        <f t="shared" si="2"/>
        <v>0</v>
      </c>
      <c r="B189"/>
      <c r="C189"/>
      <c r="D189"/>
      <c r="E189" s="1" t="s">
        <v>403</v>
      </c>
    </row>
    <row r="190" spans="1:5" x14ac:dyDescent="0.35">
      <c r="A190" s="28">
        <f t="shared" si="2"/>
        <v>0</v>
      </c>
      <c r="B190"/>
      <c r="C190"/>
      <c r="D190"/>
      <c r="E190" s="1" t="s">
        <v>403</v>
      </c>
    </row>
    <row r="191" spans="1:5" x14ac:dyDescent="0.35">
      <c r="A191" s="28">
        <f t="shared" si="2"/>
        <v>0</v>
      </c>
      <c r="B191"/>
      <c r="C191"/>
      <c r="D191"/>
      <c r="E191" s="1" t="s">
        <v>403</v>
      </c>
    </row>
    <row r="192" spans="1:5" x14ac:dyDescent="0.35">
      <c r="A192" s="28">
        <f t="shared" si="2"/>
        <v>0</v>
      </c>
      <c r="B192"/>
      <c r="C192"/>
      <c r="D192"/>
      <c r="E192" s="1" t="s">
        <v>403</v>
      </c>
    </row>
    <row r="193" spans="1:5" x14ac:dyDescent="0.35">
      <c r="A193" s="28">
        <f t="shared" si="2"/>
        <v>0</v>
      </c>
      <c r="B193"/>
      <c r="C193"/>
      <c r="D193"/>
      <c r="E193" s="1" t="s">
        <v>403</v>
      </c>
    </row>
    <row r="194" spans="1:5" x14ac:dyDescent="0.35">
      <c r="A194" s="28">
        <f t="shared" si="2"/>
        <v>0</v>
      </c>
      <c r="B194"/>
      <c r="C194"/>
      <c r="D194"/>
      <c r="E194" s="1" t="s">
        <v>403</v>
      </c>
    </row>
    <row r="195" spans="1:5" x14ac:dyDescent="0.35">
      <c r="A195" s="28">
        <f t="shared" si="2"/>
        <v>0</v>
      </c>
      <c r="B195"/>
      <c r="C195"/>
      <c r="D195"/>
      <c r="E195" s="1" t="s">
        <v>403</v>
      </c>
    </row>
    <row r="196" spans="1:5" x14ac:dyDescent="0.35">
      <c r="A196" s="28">
        <f t="shared" si="2"/>
        <v>0</v>
      </c>
      <c r="B196"/>
      <c r="C196"/>
      <c r="D196"/>
      <c r="E196" s="1" t="s">
        <v>403</v>
      </c>
    </row>
    <row r="197" spans="1:5" x14ac:dyDescent="0.35">
      <c r="A197" s="28">
        <f t="shared" si="2"/>
        <v>0</v>
      </c>
      <c r="B197"/>
      <c r="C197"/>
      <c r="D197"/>
      <c r="E197" s="1" t="s">
        <v>403</v>
      </c>
    </row>
    <row r="198" spans="1:5" x14ac:dyDescent="0.35">
      <c r="A198" s="28">
        <f t="shared" si="2"/>
        <v>0</v>
      </c>
      <c r="B198"/>
      <c r="C198"/>
      <c r="D198"/>
      <c r="E198" s="1" t="s">
        <v>403</v>
      </c>
    </row>
    <row r="199" spans="1:5" x14ac:dyDescent="0.35">
      <c r="A199" s="28">
        <f t="shared" si="2"/>
        <v>0</v>
      </c>
      <c r="B199"/>
      <c r="C199"/>
      <c r="D199"/>
      <c r="E199" s="1" t="s">
        <v>403</v>
      </c>
    </row>
    <row r="200" spans="1:5" x14ac:dyDescent="0.35">
      <c r="A200" s="28">
        <f t="shared" ref="A200:A263" si="3">IF(B200="",0,A199+1)</f>
        <v>0</v>
      </c>
      <c r="B200"/>
      <c r="C200"/>
      <c r="D200"/>
      <c r="E200" s="1" t="s">
        <v>403</v>
      </c>
    </row>
    <row r="201" spans="1:5" x14ac:dyDescent="0.35">
      <c r="A201" s="28">
        <f t="shared" si="3"/>
        <v>0</v>
      </c>
      <c r="B201"/>
      <c r="C201"/>
      <c r="D201"/>
      <c r="E201" s="1" t="s">
        <v>403</v>
      </c>
    </row>
    <row r="202" spans="1:5" x14ac:dyDescent="0.35">
      <c r="A202" s="28">
        <f t="shared" si="3"/>
        <v>0</v>
      </c>
      <c r="B202"/>
      <c r="C202"/>
      <c r="D202"/>
      <c r="E202" s="1" t="s">
        <v>403</v>
      </c>
    </row>
    <row r="203" spans="1:5" x14ac:dyDescent="0.35">
      <c r="A203" s="28">
        <f t="shared" si="3"/>
        <v>0</v>
      </c>
      <c r="B203"/>
      <c r="C203"/>
      <c r="D203"/>
      <c r="E203" s="1" t="s">
        <v>403</v>
      </c>
    </row>
    <row r="204" spans="1:5" x14ac:dyDescent="0.35">
      <c r="A204" s="28">
        <f t="shared" si="3"/>
        <v>0</v>
      </c>
      <c r="B204"/>
      <c r="C204"/>
      <c r="D204"/>
      <c r="E204" s="1" t="s">
        <v>403</v>
      </c>
    </row>
    <row r="205" spans="1:5" x14ac:dyDescent="0.35">
      <c r="A205" s="28">
        <f t="shared" si="3"/>
        <v>0</v>
      </c>
      <c r="B205"/>
      <c r="C205"/>
      <c r="D205"/>
      <c r="E205" s="1" t="s">
        <v>403</v>
      </c>
    </row>
    <row r="206" spans="1:5" x14ac:dyDescent="0.35">
      <c r="A206" s="28">
        <f t="shared" si="3"/>
        <v>0</v>
      </c>
      <c r="B206"/>
      <c r="C206"/>
      <c r="D206"/>
      <c r="E206" s="1" t="s">
        <v>403</v>
      </c>
    </row>
    <row r="207" spans="1:5" x14ac:dyDescent="0.35">
      <c r="A207" s="28">
        <f t="shared" si="3"/>
        <v>0</v>
      </c>
      <c r="B207"/>
      <c r="C207"/>
      <c r="D207"/>
      <c r="E207" s="1" t="s">
        <v>403</v>
      </c>
    </row>
    <row r="208" spans="1:5" x14ac:dyDescent="0.35">
      <c r="A208" s="28">
        <f t="shared" si="3"/>
        <v>0</v>
      </c>
      <c r="B208"/>
      <c r="C208"/>
      <c r="D208"/>
      <c r="E208" s="1" t="s">
        <v>403</v>
      </c>
    </row>
    <row r="209" spans="1:5" x14ac:dyDescent="0.35">
      <c r="A209" s="28">
        <f t="shared" si="3"/>
        <v>0</v>
      </c>
      <c r="B209"/>
      <c r="C209"/>
      <c r="D209"/>
      <c r="E209" s="1" t="s">
        <v>403</v>
      </c>
    </row>
    <row r="210" spans="1:5" x14ac:dyDescent="0.35">
      <c r="A210" s="28">
        <f t="shared" si="3"/>
        <v>0</v>
      </c>
      <c r="B210"/>
      <c r="C210"/>
      <c r="D210"/>
      <c r="E210" s="1" t="s">
        <v>403</v>
      </c>
    </row>
    <row r="211" spans="1:5" x14ac:dyDescent="0.35">
      <c r="A211" s="28">
        <f t="shared" si="3"/>
        <v>0</v>
      </c>
      <c r="B211"/>
      <c r="C211"/>
      <c r="D211"/>
      <c r="E211" s="1" t="s">
        <v>403</v>
      </c>
    </row>
    <row r="212" spans="1:5" x14ac:dyDescent="0.35">
      <c r="A212" s="28">
        <f t="shared" si="3"/>
        <v>0</v>
      </c>
      <c r="B212"/>
      <c r="C212"/>
      <c r="D212"/>
      <c r="E212" s="1" t="s">
        <v>403</v>
      </c>
    </row>
    <row r="213" spans="1:5" x14ac:dyDescent="0.35">
      <c r="A213" s="28">
        <f t="shared" si="3"/>
        <v>0</v>
      </c>
      <c r="B213"/>
      <c r="C213"/>
      <c r="D213"/>
      <c r="E213" s="1" t="s">
        <v>403</v>
      </c>
    </row>
    <row r="214" spans="1:5" x14ac:dyDescent="0.35">
      <c r="A214" s="28">
        <f t="shared" si="3"/>
        <v>0</v>
      </c>
      <c r="B214"/>
      <c r="C214"/>
      <c r="D214"/>
      <c r="E214" s="1" t="s">
        <v>403</v>
      </c>
    </row>
    <row r="215" spans="1:5" x14ac:dyDescent="0.35">
      <c r="A215" s="28">
        <f t="shared" si="3"/>
        <v>0</v>
      </c>
      <c r="B215"/>
      <c r="C215"/>
      <c r="D215"/>
      <c r="E215" s="1" t="s">
        <v>403</v>
      </c>
    </row>
    <row r="216" spans="1:5" x14ac:dyDescent="0.35">
      <c r="A216" s="28">
        <f t="shared" si="3"/>
        <v>0</v>
      </c>
      <c r="B216"/>
      <c r="C216"/>
      <c r="D216"/>
      <c r="E216" s="1" t="s">
        <v>403</v>
      </c>
    </row>
    <row r="217" spans="1:5" x14ac:dyDescent="0.35">
      <c r="A217" s="28">
        <f t="shared" si="3"/>
        <v>0</v>
      </c>
      <c r="B217"/>
      <c r="C217"/>
      <c r="D217"/>
      <c r="E217" s="1" t="s">
        <v>403</v>
      </c>
    </row>
    <row r="218" spans="1:5" x14ac:dyDescent="0.35">
      <c r="A218" s="28">
        <f t="shared" si="3"/>
        <v>0</v>
      </c>
      <c r="B218"/>
      <c r="C218"/>
      <c r="D218"/>
      <c r="E218" s="1" t="s">
        <v>403</v>
      </c>
    </row>
    <row r="219" spans="1:5" x14ac:dyDescent="0.35">
      <c r="A219" s="28">
        <f t="shared" si="3"/>
        <v>0</v>
      </c>
      <c r="B219"/>
      <c r="C219"/>
      <c r="D219"/>
      <c r="E219" s="1" t="s">
        <v>403</v>
      </c>
    </row>
    <row r="220" spans="1:5" x14ac:dyDescent="0.35">
      <c r="A220" s="28">
        <f t="shared" si="3"/>
        <v>0</v>
      </c>
      <c r="B220"/>
      <c r="C220"/>
      <c r="D220"/>
      <c r="E220" s="1" t="s">
        <v>403</v>
      </c>
    </row>
    <row r="221" spans="1:5" x14ac:dyDescent="0.35">
      <c r="A221" s="28">
        <f t="shared" si="3"/>
        <v>0</v>
      </c>
      <c r="B221"/>
      <c r="C221"/>
      <c r="D221"/>
      <c r="E221" s="1" t="s">
        <v>403</v>
      </c>
    </row>
    <row r="222" spans="1:5" x14ac:dyDescent="0.35">
      <c r="A222" s="28">
        <f t="shared" si="3"/>
        <v>0</v>
      </c>
      <c r="B222"/>
      <c r="C222"/>
      <c r="D222"/>
      <c r="E222" s="1" t="s">
        <v>403</v>
      </c>
    </row>
    <row r="223" spans="1:5" x14ac:dyDescent="0.35">
      <c r="A223" s="28">
        <f t="shared" si="3"/>
        <v>0</v>
      </c>
      <c r="B223"/>
      <c r="C223"/>
      <c r="D223"/>
      <c r="E223" s="1" t="s">
        <v>403</v>
      </c>
    </row>
    <row r="224" spans="1:5" x14ac:dyDescent="0.35">
      <c r="A224" s="28">
        <f t="shared" si="3"/>
        <v>0</v>
      </c>
      <c r="B224"/>
      <c r="C224"/>
      <c r="D224"/>
      <c r="E224" s="1" t="s">
        <v>403</v>
      </c>
    </row>
    <row r="225" spans="1:5" x14ac:dyDescent="0.35">
      <c r="A225" s="28">
        <f t="shared" si="3"/>
        <v>0</v>
      </c>
      <c r="B225"/>
      <c r="C225"/>
      <c r="D225"/>
      <c r="E225" s="1" t="s">
        <v>403</v>
      </c>
    </row>
    <row r="226" spans="1:5" x14ac:dyDescent="0.35">
      <c r="A226" s="28">
        <f t="shared" si="3"/>
        <v>0</v>
      </c>
      <c r="B226"/>
      <c r="C226"/>
      <c r="D226"/>
      <c r="E226" s="1" t="s">
        <v>403</v>
      </c>
    </row>
    <row r="227" spans="1:5" x14ac:dyDescent="0.35">
      <c r="A227" s="28">
        <f t="shared" si="3"/>
        <v>0</v>
      </c>
      <c r="B227"/>
      <c r="C227"/>
      <c r="D227"/>
      <c r="E227" s="1" t="s">
        <v>403</v>
      </c>
    </row>
    <row r="228" spans="1:5" x14ac:dyDescent="0.35">
      <c r="A228" s="28">
        <f t="shared" si="3"/>
        <v>0</v>
      </c>
      <c r="B228"/>
      <c r="C228"/>
      <c r="D228"/>
      <c r="E228" s="1" t="s">
        <v>403</v>
      </c>
    </row>
    <row r="229" spans="1:5" x14ac:dyDescent="0.35">
      <c r="A229" s="28">
        <f t="shared" si="3"/>
        <v>0</v>
      </c>
      <c r="B229"/>
      <c r="C229"/>
      <c r="D229"/>
      <c r="E229" s="1" t="s">
        <v>403</v>
      </c>
    </row>
    <row r="230" spans="1:5" x14ac:dyDescent="0.35">
      <c r="A230" s="28">
        <f t="shared" si="3"/>
        <v>0</v>
      </c>
      <c r="B230"/>
      <c r="C230"/>
      <c r="D230"/>
      <c r="E230" s="1" t="s">
        <v>403</v>
      </c>
    </row>
    <row r="231" spans="1:5" x14ac:dyDescent="0.35">
      <c r="A231" s="28">
        <f t="shared" si="3"/>
        <v>0</v>
      </c>
      <c r="B231"/>
      <c r="C231"/>
      <c r="D231"/>
      <c r="E231" s="1" t="s">
        <v>403</v>
      </c>
    </row>
    <row r="232" spans="1:5" x14ac:dyDescent="0.35">
      <c r="A232" s="28">
        <f t="shared" si="3"/>
        <v>0</v>
      </c>
      <c r="B232"/>
      <c r="C232"/>
      <c r="D232"/>
      <c r="E232" s="1" t="s">
        <v>403</v>
      </c>
    </row>
    <row r="233" spans="1:5" x14ac:dyDescent="0.35">
      <c r="A233" s="28">
        <f t="shared" si="3"/>
        <v>0</v>
      </c>
      <c r="B233"/>
      <c r="C233"/>
      <c r="D233"/>
      <c r="E233" s="1" t="s">
        <v>403</v>
      </c>
    </row>
    <row r="234" spans="1:5" x14ac:dyDescent="0.35">
      <c r="A234" s="28">
        <f t="shared" si="3"/>
        <v>0</v>
      </c>
      <c r="B234"/>
      <c r="C234"/>
      <c r="D234"/>
      <c r="E234" s="1" t="s">
        <v>403</v>
      </c>
    </row>
    <row r="235" spans="1:5" x14ac:dyDescent="0.35">
      <c r="A235" s="28">
        <f t="shared" si="3"/>
        <v>0</v>
      </c>
      <c r="B235"/>
      <c r="C235"/>
      <c r="D235"/>
      <c r="E235" s="1" t="s">
        <v>403</v>
      </c>
    </row>
    <row r="236" spans="1:5" x14ac:dyDescent="0.35">
      <c r="A236" s="28">
        <f t="shared" si="3"/>
        <v>0</v>
      </c>
      <c r="B236"/>
      <c r="C236"/>
      <c r="D236"/>
      <c r="E236" s="1" t="s">
        <v>403</v>
      </c>
    </row>
    <row r="237" spans="1:5" x14ac:dyDescent="0.35">
      <c r="A237" s="28">
        <f t="shared" si="3"/>
        <v>0</v>
      </c>
      <c r="B237"/>
      <c r="C237"/>
      <c r="D237"/>
      <c r="E237" s="1" t="s">
        <v>403</v>
      </c>
    </row>
    <row r="238" spans="1:5" x14ac:dyDescent="0.35">
      <c r="A238" s="28">
        <f t="shared" si="3"/>
        <v>0</v>
      </c>
      <c r="B238"/>
      <c r="C238"/>
      <c r="D238"/>
      <c r="E238" s="1" t="s">
        <v>403</v>
      </c>
    </row>
    <row r="239" spans="1:5" x14ac:dyDescent="0.35">
      <c r="A239" s="28">
        <f t="shared" si="3"/>
        <v>0</v>
      </c>
      <c r="B239"/>
      <c r="C239"/>
      <c r="D239"/>
      <c r="E239" s="1" t="s">
        <v>403</v>
      </c>
    </row>
    <row r="240" spans="1:5" x14ac:dyDescent="0.35">
      <c r="A240" s="28">
        <f t="shared" si="3"/>
        <v>0</v>
      </c>
      <c r="B240"/>
      <c r="C240"/>
      <c r="D240"/>
      <c r="E240" s="1" t="s">
        <v>403</v>
      </c>
    </row>
    <row r="241" spans="1:5" x14ac:dyDescent="0.35">
      <c r="A241" s="28">
        <f t="shared" si="3"/>
        <v>0</v>
      </c>
      <c r="B241"/>
      <c r="C241"/>
      <c r="D241"/>
      <c r="E241" s="1" t="s">
        <v>403</v>
      </c>
    </row>
    <row r="242" spans="1:5" x14ac:dyDescent="0.35">
      <c r="A242" s="28">
        <f t="shared" si="3"/>
        <v>0</v>
      </c>
      <c r="B242"/>
      <c r="C242"/>
      <c r="D242"/>
      <c r="E242" s="1" t="s">
        <v>403</v>
      </c>
    </row>
    <row r="243" spans="1:5" x14ac:dyDescent="0.35">
      <c r="A243" s="28">
        <f t="shared" si="3"/>
        <v>0</v>
      </c>
      <c r="B243"/>
      <c r="C243"/>
      <c r="D243"/>
      <c r="E243" s="1" t="s">
        <v>403</v>
      </c>
    </row>
    <row r="244" spans="1:5" x14ac:dyDescent="0.35">
      <c r="A244" s="28">
        <f t="shared" si="3"/>
        <v>0</v>
      </c>
      <c r="B244"/>
      <c r="C244"/>
      <c r="D244"/>
      <c r="E244" s="1" t="s">
        <v>403</v>
      </c>
    </row>
    <row r="245" spans="1:5" x14ac:dyDescent="0.35">
      <c r="A245" s="28">
        <f t="shared" si="3"/>
        <v>0</v>
      </c>
      <c r="B245"/>
      <c r="C245"/>
      <c r="D245"/>
      <c r="E245" s="1" t="s">
        <v>403</v>
      </c>
    </row>
    <row r="246" spans="1:5" x14ac:dyDescent="0.35">
      <c r="A246" s="28">
        <f t="shared" si="3"/>
        <v>0</v>
      </c>
      <c r="B246"/>
      <c r="C246"/>
      <c r="D246"/>
      <c r="E246" s="1" t="s">
        <v>403</v>
      </c>
    </row>
    <row r="247" spans="1:5" x14ac:dyDescent="0.35">
      <c r="A247" s="28">
        <f t="shared" si="3"/>
        <v>0</v>
      </c>
      <c r="B247"/>
      <c r="C247"/>
      <c r="D247"/>
      <c r="E247" s="1" t="s">
        <v>403</v>
      </c>
    </row>
    <row r="248" spans="1:5" x14ac:dyDescent="0.35">
      <c r="A248" s="28">
        <f t="shared" si="3"/>
        <v>0</v>
      </c>
      <c r="B248"/>
      <c r="C248"/>
      <c r="D248"/>
      <c r="E248" s="1" t="s">
        <v>403</v>
      </c>
    </row>
    <row r="249" spans="1:5" x14ac:dyDescent="0.35">
      <c r="A249" s="28">
        <f t="shared" si="3"/>
        <v>0</v>
      </c>
      <c r="B249"/>
      <c r="C249"/>
      <c r="D249"/>
      <c r="E249" s="1" t="s">
        <v>403</v>
      </c>
    </row>
    <row r="250" spans="1:5" x14ac:dyDescent="0.35">
      <c r="A250" s="28">
        <f t="shared" si="3"/>
        <v>0</v>
      </c>
      <c r="B250"/>
      <c r="C250"/>
      <c r="D250"/>
      <c r="E250" s="1" t="s">
        <v>403</v>
      </c>
    </row>
    <row r="251" spans="1:5" x14ac:dyDescent="0.35">
      <c r="A251" s="28">
        <f t="shared" si="3"/>
        <v>0</v>
      </c>
      <c r="B251"/>
      <c r="C251"/>
      <c r="D251"/>
      <c r="E251" s="1" t="s">
        <v>403</v>
      </c>
    </row>
    <row r="252" spans="1:5" x14ac:dyDescent="0.35">
      <c r="A252" s="28">
        <f t="shared" si="3"/>
        <v>0</v>
      </c>
      <c r="B252"/>
      <c r="C252"/>
      <c r="D252"/>
      <c r="E252" s="1" t="s">
        <v>403</v>
      </c>
    </row>
    <row r="253" spans="1:5" x14ac:dyDescent="0.35">
      <c r="A253" s="28">
        <f t="shared" si="3"/>
        <v>0</v>
      </c>
      <c r="B253"/>
      <c r="C253"/>
      <c r="D253"/>
      <c r="E253" s="1" t="s">
        <v>403</v>
      </c>
    </row>
    <row r="254" spans="1:5" x14ac:dyDescent="0.35">
      <c r="A254" s="28">
        <f t="shared" si="3"/>
        <v>0</v>
      </c>
      <c r="B254"/>
      <c r="C254"/>
      <c r="D254"/>
      <c r="E254" s="1" t="s">
        <v>403</v>
      </c>
    </row>
    <row r="255" spans="1:5" x14ac:dyDescent="0.35">
      <c r="A255" s="28">
        <f t="shared" si="3"/>
        <v>0</v>
      </c>
      <c r="B255"/>
      <c r="C255"/>
      <c r="D255"/>
      <c r="E255" s="1" t="s">
        <v>403</v>
      </c>
    </row>
    <row r="256" spans="1:5" x14ac:dyDescent="0.35">
      <c r="A256" s="28">
        <f t="shared" si="3"/>
        <v>0</v>
      </c>
      <c r="B256"/>
      <c r="C256"/>
      <c r="D256"/>
      <c r="E256" s="1" t="s">
        <v>403</v>
      </c>
    </row>
    <row r="257" spans="1:5" x14ac:dyDescent="0.35">
      <c r="A257" s="28">
        <f t="shared" si="3"/>
        <v>0</v>
      </c>
      <c r="B257"/>
      <c r="C257"/>
      <c r="D257"/>
      <c r="E257" s="1" t="s">
        <v>403</v>
      </c>
    </row>
    <row r="258" spans="1:5" x14ac:dyDescent="0.35">
      <c r="A258" s="28">
        <f t="shared" si="3"/>
        <v>0</v>
      </c>
      <c r="B258"/>
      <c r="C258"/>
      <c r="D258"/>
      <c r="E258" s="1" t="s">
        <v>403</v>
      </c>
    </row>
    <row r="259" spans="1:5" x14ac:dyDescent="0.35">
      <c r="A259" s="28">
        <f t="shared" si="3"/>
        <v>0</v>
      </c>
      <c r="B259"/>
      <c r="C259"/>
      <c r="D259"/>
      <c r="E259" s="1" t="s">
        <v>403</v>
      </c>
    </row>
    <row r="260" spans="1:5" x14ac:dyDescent="0.35">
      <c r="A260" s="28">
        <f t="shared" si="3"/>
        <v>0</v>
      </c>
      <c r="B260"/>
      <c r="C260"/>
      <c r="D260"/>
      <c r="E260" s="1" t="s">
        <v>403</v>
      </c>
    </row>
    <row r="261" spans="1:5" x14ac:dyDescent="0.35">
      <c r="A261" s="28">
        <f t="shared" si="3"/>
        <v>0</v>
      </c>
      <c r="B261"/>
      <c r="C261"/>
      <c r="D261"/>
      <c r="E261" s="1" t="s">
        <v>403</v>
      </c>
    </row>
    <row r="262" spans="1:5" x14ac:dyDescent="0.35">
      <c r="A262" s="28">
        <f t="shared" si="3"/>
        <v>0</v>
      </c>
      <c r="B262"/>
      <c r="C262"/>
      <c r="D262"/>
      <c r="E262" s="1" t="s">
        <v>403</v>
      </c>
    </row>
    <row r="263" spans="1:5" x14ac:dyDescent="0.35">
      <c r="A263" s="28">
        <f t="shared" si="3"/>
        <v>0</v>
      </c>
      <c r="B263"/>
      <c r="C263"/>
      <c r="D263"/>
      <c r="E263" s="1" t="s">
        <v>403</v>
      </c>
    </row>
    <row r="264" spans="1:5" x14ac:dyDescent="0.35">
      <c r="A264" s="28">
        <f t="shared" ref="A264:A327" si="4">IF(B264="",0,A263+1)</f>
        <v>0</v>
      </c>
      <c r="B264"/>
      <c r="C264"/>
      <c r="D264"/>
      <c r="E264" s="1" t="s">
        <v>403</v>
      </c>
    </row>
    <row r="265" spans="1:5" x14ac:dyDescent="0.35">
      <c r="A265" s="28">
        <f t="shared" si="4"/>
        <v>0</v>
      </c>
      <c r="B265"/>
      <c r="C265"/>
      <c r="D265"/>
      <c r="E265" s="1" t="s">
        <v>403</v>
      </c>
    </row>
    <row r="266" spans="1:5" x14ac:dyDescent="0.35">
      <c r="A266" s="28">
        <f t="shared" si="4"/>
        <v>0</v>
      </c>
      <c r="B266"/>
      <c r="C266"/>
      <c r="D266"/>
      <c r="E266" s="1" t="s">
        <v>403</v>
      </c>
    </row>
    <row r="267" spans="1:5" x14ac:dyDescent="0.35">
      <c r="A267" s="28">
        <f t="shared" si="4"/>
        <v>0</v>
      </c>
      <c r="B267"/>
      <c r="C267"/>
      <c r="D267"/>
      <c r="E267" s="1" t="s">
        <v>403</v>
      </c>
    </row>
    <row r="268" spans="1:5" x14ac:dyDescent="0.35">
      <c r="A268" s="28">
        <f t="shared" si="4"/>
        <v>0</v>
      </c>
      <c r="B268"/>
      <c r="C268"/>
      <c r="D268"/>
      <c r="E268" s="1" t="s">
        <v>403</v>
      </c>
    </row>
    <row r="269" spans="1:5" x14ac:dyDescent="0.35">
      <c r="A269" s="28">
        <f t="shared" si="4"/>
        <v>0</v>
      </c>
      <c r="B269"/>
      <c r="C269"/>
      <c r="D269"/>
      <c r="E269" s="1" t="s">
        <v>403</v>
      </c>
    </row>
    <row r="270" spans="1:5" x14ac:dyDescent="0.35">
      <c r="A270" s="28">
        <f t="shared" si="4"/>
        <v>0</v>
      </c>
      <c r="B270"/>
      <c r="C270"/>
      <c r="D270"/>
      <c r="E270" s="1" t="s">
        <v>403</v>
      </c>
    </row>
    <row r="271" spans="1:5" x14ac:dyDescent="0.35">
      <c r="A271" s="28">
        <f t="shared" si="4"/>
        <v>0</v>
      </c>
      <c r="B271"/>
      <c r="C271"/>
      <c r="D271"/>
      <c r="E271" s="1" t="s">
        <v>403</v>
      </c>
    </row>
    <row r="272" spans="1:5" x14ac:dyDescent="0.35">
      <c r="A272" s="28">
        <f t="shared" si="4"/>
        <v>0</v>
      </c>
      <c r="B272"/>
      <c r="C272"/>
      <c r="D272"/>
      <c r="E272" s="1" t="s">
        <v>403</v>
      </c>
    </row>
    <row r="273" spans="1:5" x14ac:dyDescent="0.35">
      <c r="A273" s="28">
        <f t="shared" si="4"/>
        <v>0</v>
      </c>
      <c r="B273"/>
      <c r="C273"/>
      <c r="D273"/>
      <c r="E273" s="1" t="s">
        <v>403</v>
      </c>
    </row>
    <row r="274" spans="1:5" x14ac:dyDescent="0.35">
      <c r="A274" s="28">
        <f t="shared" si="4"/>
        <v>0</v>
      </c>
      <c r="B274"/>
      <c r="C274"/>
      <c r="D274"/>
      <c r="E274" s="1" t="s">
        <v>403</v>
      </c>
    </row>
    <row r="275" spans="1:5" x14ac:dyDescent="0.35">
      <c r="A275" s="28">
        <f t="shared" si="4"/>
        <v>0</v>
      </c>
      <c r="B275"/>
      <c r="C275"/>
      <c r="D275"/>
      <c r="E275" s="1" t="s">
        <v>403</v>
      </c>
    </row>
    <row r="276" spans="1:5" x14ac:dyDescent="0.35">
      <c r="A276" s="28">
        <f t="shared" si="4"/>
        <v>0</v>
      </c>
      <c r="B276"/>
      <c r="C276"/>
      <c r="D276"/>
      <c r="E276" s="1" t="s">
        <v>403</v>
      </c>
    </row>
    <row r="277" spans="1:5" x14ac:dyDescent="0.35">
      <c r="A277" s="28">
        <f t="shared" si="4"/>
        <v>0</v>
      </c>
      <c r="B277"/>
      <c r="C277"/>
      <c r="D277"/>
      <c r="E277" s="1" t="s">
        <v>403</v>
      </c>
    </row>
    <row r="278" spans="1:5" x14ac:dyDescent="0.35">
      <c r="A278" s="28">
        <f t="shared" si="4"/>
        <v>0</v>
      </c>
      <c r="B278"/>
      <c r="C278"/>
      <c r="D278"/>
      <c r="E278" s="1" t="s">
        <v>403</v>
      </c>
    </row>
    <row r="279" spans="1:5" x14ac:dyDescent="0.35">
      <c r="A279" s="28">
        <f t="shared" si="4"/>
        <v>0</v>
      </c>
      <c r="B279"/>
      <c r="C279"/>
      <c r="D279"/>
      <c r="E279" s="1" t="s">
        <v>403</v>
      </c>
    </row>
    <row r="280" spans="1:5" x14ac:dyDescent="0.35">
      <c r="A280" s="28">
        <f t="shared" si="4"/>
        <v>0</v>
      </c>
      <c r="B280"/>
      <c r="C280"/>
      <c r="D280"/>
      <c r="E280" s="1" t="s">
        <v>403</v>
      </c>
    </row>
    <row r="281" spans="1:5" x14ac:dyDescent="0.35">
      <c r="A281" s="28">
        <f t="shared" si="4"/>
        <v>0</v>
      </c>
      <c r="B281"/>
      <c r="C281"/>
      <c r="D281"/>
      <c r="E281" s="1" t="s">
        <v>403</v>
      </c>
    </row>
    <row r="282" spans="1:5" x14ac:dyDescent="0.35">
      <c r="A282" s="28">
        <f t="shared" si="4"/>
        <v>0</v>
      </c>
      <c r="B282"/>
      <c r="C282"/>
      <c r="D282"/>
      <c r="E282" s="1" t="s">
        <v>403</v>
      </c>
    </row>
    <row r="283" spans="1:5" x14ac:dyDescent="0.35">
      <c r="A283" s="28">
        <f t="shared" si="4"/>
        <v>0</v>
      </c>
      <c r="B283"/>
      <c r="C283"/>
      <c r="D283"/>
      <c r="E283" s="1" t="s">
        <v>403</v>
      </c>
    </row>
    <row r="284" spans="1:5" x14ac:dyDescent="0.35">
      <c r="A284" s="28">
        <f t="shared" si="4"/>
        <v>0</v>
      </c>
      <c r="B284"/>
      <c r="C284"/>
      <c r="D284"/>
      <c r="E284" s="1" t="s">
        <v>403</v>
      </c>
    </row>
    <row r="285" spans="1:5" x14ac:dyDescent="0.35">
      <c r="A285" s="28">
        <f t="shared" si="4"/>
        <v>0</v>
      </c>
      <c r="B285"/>
      <c r="C285"/>
      <c r="D285"/>
      <c r="E285" s="1" t="s">
        <v>403</v>
      </c>
    </row>
    <row r="286" spans="1:5" x14ac:dyDescent="0.35">
      <c r="A286" s="28">
        <f t="shared" si="4"/>
        <v>0</v>
      </c>
      <c r="B286"/>
      <c r="C286"/>
      <c r="D286"/>
      <c r="E286" s="1" t="s">
        <v>403</v>
      </c>
    </row>
    <row r="287" spans="1:5" x14ac:dyDescent="0.35">
      <c r="A287" s="28">
        <f t="shared" si="4"/>
        <v>0</v>
      </c>
      <c r="B287"/>
      <c r="C287"/>
      <c r="D287"/>
      <c r="E287" s="1" t="s">
        <v>403</v>
      </c>
    </row>
    <row r="288" spans="1:5" x14ac:dyDescent="0.35">
      <c r="A288" s="28">
        <f t="shared" si="4"/>
        <v>0</v>
      </c>
      <c r="B288"/>
      <c r="C288"/>
      <c r="D288"/>
      <c r="E288" s="1" t="s">
        <v>403</v>
      </c>
    </row>
    <row r="289" spans="1:5" x14ac:dyDescent="0.35">
      <c r="A289" s="28">
        <f t="shared" si="4"/>
        <v>0</v>
      </c>
      <c r="B289"/>
      <c r="C289"/>
      <c r="D289"/>
      <c r="E289" s="1" t="s">
        <v>403</v>
      </c>
    </row>
    <row r="290" spans="1:5" x14ac:dyDescent="0.35">
      <c r="A290" s="28">
        <f t="shared" si="4"/>
        <v>0</v>
      </c>
      <c r="B290"/>
      <c r="C290"/>
      <c r="D290"/>
      <c r="E290" s="1" t="s">
        <v>403</v>
      </c>
    </row>
    <row r="291" spans="1:5" x14ac:dyDescent="0.35">
      <c r="A291" s="28">
        <f t="shared" si="4"/>
        <v>0</v>
      </c>
      <c r="B291"/>
      <c r="C291"/>
      <c r="D291"/>
      <c r="E291" s="1" t="s">
        <v>403</v>
      </c>
    </row>
    <row r="292" spans="1:5" x14ac:dyDescent="0.35">
      <c r="A292" s="28">
        <f t="shared" si="4"/>
        <v>0</v>
      </c>
      <c r="B292"/>
      <c r="C292"/>
      <c r="D292"/>
      <c r="E292" s="1" t="s">
        <v>403</v>
      </c>
    </row>
    <row r="293" spans="1:5" x14ac:dyDescent="0.35">
      <c r="A293" s="28">
        <f t="shared" si="4"/>
        <v>0</v>
      </c>
      <c r="B293"/>
      <c r="C293"/>
      <c r="D293"/>
      <c r="E293" s="1" t="s">
        <v>403</v>
      </c>
    </row>
    <row r="294" spans="1:5" x14ac:dyDescent="0.35">
      <c r="A294" s="28">
        <f t="shared" si="4"/>
        <v>0</v>
      </c>
      <c r="B294"/>
      <c r="C294"/>
      <c r="D294"/>
      <c r="E294" s="1" t="s">
        <v>403</v>
      </c>
    </row>
    <row r="295" spans="1:5" x14ac:dyDescent="0.35">
      <c r="A295" s="28">
        <f t="shared" si="4"/>
        <v>0</v>
      </c>
      <c r="B295"/>
      <c r="C295"/>
      <c r="D295"/>
      <c r="E295" s="1" t="s">
        <v>403</v>
      </c>
    </row>
    <row r="296" spans="1:5" x14ac:dyDescent="0.35">
      <c r="A296" s="28">
        <f t="shared" si="4"/>
        <v>0</v>
      </c>
      <c r="B296"/>
      <c r="C296"/>
      <c r="D296"/>
      <c r="E296" s="1" t="s">
        <v>403</v>
      </c>
    </row>
    <row r="297" spans="1:5" x14ac:dyDescent="0.35">
      <c r="A297" s="28">
        <f t="shared" si="4"/>
        <v>0</v>
      </c>
      <c r="B297"/>
      <c r="C297"/>
      <c r="D297"/>
      <c r="E297" s="1" t="s">
        <v>403</v>
      </c>
    </row>
    <row r="298" spans="1:5" x14ac:dyDescent="0.35">
      <c r="A298" s="28">
        <f t="shared" si="4"/>
        <v>0</v>
      </c>
      <c r="B298"/>
      <c r="C298"/>
      <c r="D298"/>
      <c r="E298" s="1" t="s">
        <v>403</v>
      </c>
    </row>
    <row r="299" spans="1:5" x14ac:dyDescent="0.35">
      <c r="A299" s="28">
        <f t="shared" si="4"/>
        <v>0</v>
      </c>
      <c r="B299"/>
      <c r="C299"/>
      <c r="D299"/>
      <c r="E299" s="1" t="s">
        <v>403</v>
      </c>
    </row>
    <row r="300" spans="1:5" x14ac:dyDescent="0.35">
      <c r="A300" s="28">
        <f t="shared" si="4"/>
        <v>0</v>
      </c>
      <c r="B300"/>
      <c r="C300"/>
      <c r="D300"/>
      <c r="E300" s="1" t="s">
        <v>403</v>
      </c>
    </row>
    <row r="301" spans="1:5" x14ac:dyDescent="0.35">
      <c r="A301" s="28">
        <f t="shared" si="4"/>
        <v>0</v>
      </c>
      <c r="B301"/>
      <c r="C301"/>
      <c r="D301"/>
      <c r="E301" s="1" t="s">
        <v>403</v>
      </c>
    </row>
    <row r="302" spans="1:5" x14ac:dyDescent="0.35">
      <c r="A302" s="28">
        <f t="shared" si="4"/>
        <v>0</v>
      </c>
      <c r="B302"/>
      <c r="C302"/>
      <c r="D302"/>
      <c r="E302" s="1" t="s">
        <v>403</v>
      </c>
    </row>
    <row r="303" spans="1:5" x14ac:dyDescent="0.35">
      <c r="A303" s="28">
        <f t="shared" si="4"/>
        <v>0</v>
      </c>
      <c r="B303"/>
      <c r="C303"/>
      <c r="D303"/>
      <c r="E303" s="1" t="s">
        <v>403</v>
      </c>
    </row>
    <row r="304" spans="1:5" x14ac:dyDescent="0.35">
      <c r="A304" s="28">
        <f t="shared" si="4"/>
        <v>0</v>
      </c>
      <c r="B304"/>
      <c r="C304"/>
      <c r="D304"/>
      <c r="E304" s="1" t="s">
        <v>403</v>
      </c>
    </row>
    <row r="305" spans="1:5" x14ac:dyDescent="0.35">
      <c r="A305" s="28">
        <f t="shared" si="4"/>
        <v>0</v>
      </c>
      <c r="B305"/>
      <c r="C305"/>
      <c r="D305"/>
      <c r="E305" s="1" t="s">
        <v>403</v>
      </c>
    </row>
    <row r="306" spans="1:5" x14ac:dyDescent="0.35">
      <c r="A306" s="28">
        <f t="shared" si="4"/>
        <v>0</v>
      </c>
      <c r="B306"/>
      <c r="C306"/>
      <c r="D306"/>
      <c r="E306" s="1" t="s">
        <v>403</v>
      </c>
    </row>
    <row r="307" spans="1:5" x14ac:dyDescent="0.35">
      <c r="A307" s="28">
        <f t="shared" si="4"/>
        <v>0</v>
      </c>
      <c r="B307"/>
      <c r="C307"/>
      <c r="D307"/>
      <c r="E307" s="1" t="s">
        <v>403</v>
      </c>
    </row>
    <row r="308" spans="1:5" x14ac:dyDescent="0.35">
      <c r="A308" s="28">
        <f t="shared" si="4"/>
        <v>0</v>
      </c>
      <c r="B308"/>
      <c r="C308"/>
      <c r="D308"/>
      <c r="E308" s="1" t="s">
        <v>403</v>
      </c>
    </row>
    <row r="309" spans="1:5" x14ac:dyDescent="0.35">
      <c r="A309" s="28">
        <f t="shared" si="4"/>
        <v>0</v>
      </c>
      <c r="B309"/>
      <c r="C309"/>
      <c r="D309"/>
      <c r="E309" s="1" t="s">
        <v>403</v>
      </c>
    </row>
    <row r="310" spans="1:5" x14ac:dyDescent="0.35">
      <c r="A310" s="28">
        <f t="shared" si="4"/>
        <v>0</v>
      </c>
      <c r="B310"/>
      <c r="C310"/>
      <c r="D310"/>
      <c r="E310" s="1" t="s">
        <v>403</v>
      </c>
    </row>
    <row r="311" spans="1:5" x14ac:dyDescent="0.35">
      <c r="A311" s="28">
        <f t="shared" si="4"/>
        <v>0</v>
      </c>
      <c r="B311"/>
      <c r="C311"/>
      <c r="D311"/>
      <c r="E311" s="1" t="s">
        <v>403</v>
      </c>
    </row>
    <row r="312" spans="1:5" x14ac:dyDescent="0.35">
      <c r="A312" s="28">
        <f t="shared" si="4"/>
        <v>0</v>
      </c>
      <c r="B312"/>
      <c r="C312"/>
      <c r="D312"/>
      <c r="E312" s="1" t="s">
        <v>403</v>
      </c>
    </row>
    <row r="313" spans="1:5" x14ac:dyDescent="0.35">
      <c r="A313" s="28">
        <f t="shared" si="4"/>
        <v>0</v>
      </c>
      <c r="B313"/>
      <c r="C313"/>
      <c r="D313"/>
      <c r="E313" s="1" t="s">
        <v>403</v>
      </c>
    </row>
    <row r="314" spans="1:5" x14ac:dyDescent="0.35">
      <c r="A314" s="28">
        <f t="shared" si="4"/>
        <v>0</v>
      </c>
      <c r="B314"/>
      <c r="C314"/>
      <c r="D314"/>
      <c r="E314" s="1" t="s">
        <v>403</v>
      </c>
    </row>
    <row r="315" spans="1:5" x14ac:dyDescent="0.35">
      <c r="A315" s="28">
        <f t="shared" si="4"/>
        <v>0</v>
      </c>
      <c r="B315"/>
      <c r="C315"/>
      <c r="D315"/>
      <c r="E315" s="1" t="s">
        <v>403</v>
      </c>
    </row>
    <row r="316" spans="1:5" x14ac:dyDescent="0.35">
      <c r="A316" s="28">
        <f t="shared" si="4"/>
        <v>0</v>
      </c>
      <c r="B316"/>
      <c r="C316"/>
      <c r="D316"/>
      <c r="E316" s="1" t="s">
        <v>403</v>
      </c>
    </row>
    <row r="317" spans="1:5" x14ac:dyDescent="0.35">
      <c r="A317" s="28">
        <f t="shared" si="4"/>
        <v>0</v>
      </c>
      <c r="B317"/>
      <c r="C317"/>
      <c r="D317"/>
      <c r="E317" s="1" t="s">
        <v>403</v>
      </c>
    </row>
    <row r="318" spans="1:5" x14ac:dyDescent="0.35">
      <c r="A318" s="28">
        <f t="shared" si="4"/>
        <v>0</v>
      </c>
      <c r="B318"/>
      <c r="C318"/>
      <c r="D318"/>
      <c r="E318" s="1" t="s">
        <v>403</v>
      </c>
    </row>
    <row r="319" spans="1:5" x14ac:dyDescent="0.35">
      <c r="A319" s="28">
        <f t="shared" si="4"/>
        <v>0</v>
      </c>
      <c r="B319"/>
      <c r="C319"/>
      <c r="D319"/>
      <c r="E319" s="1" t="s">
        <v>403</v>
      </c>
    </row>
    <row r="320" spans="1:5" x14ac:dyDescent="0.35">
      <c r="A320" s="28">
        <f t="shared" si="4"/>
        <v>0</v>
      </c>
      <c r="B320"/>
      <c r="C320"/>
      <c r="D320"/>
      <c r="E320" s="1" t="s">
        <v>403</v>
      </c>
    </row>
    <row r="321" spans="1:5" x14ac:dyDescent="0.35">
      <c r="A321" s="28">
        <f t="shared" si="4"/>
        <v>0</v>
      </c>
      <c r="B321"/>
      <c r="C321"/>
      <c r="D321"/>
      <c r="E321" s="1" t="s">
        <v>403</v>
      </c>
    </row>
    <row r="322" spans="1:5" x14ac:dyDescent="0.35">
      <c r="A322" s="28">
        <f t="shared" si="4"/>
        <v>0</v>
      </c>
      <c r="B322"/>
      <c r="C322"/>
      <c r="D322"/>
      <c r="E322" s="1" t="s">
        <v>403</v>
      </c>
    </row>
    <row r="323" spans="1:5" x14ac:dyDescent="0.35">
      <c r="A323" s="28">
        <f t="shared" si="4"/>
        <v>0</v>
      </c>
      <c r="B323"/>
      <c r="C323"/>
      <c r="D323"/>
      <c r="E323" s="1" t="s">
        <v>403</v>
      </c>
    </row>
    <row r="324" spans="1:5" x14ac:dyDescent="0.35">
      <c r="A324" s="28">
        <f t="shared" si="4"/>
        <v>0</v>
      </c>
      <c r="B324"/>
      <c r="C324"/>
      <c r="D324"/>
      <c r="E324" s="1" t="s">
        <v>403</v>
      </c>
    </row>
    <row r="325" spans="1:5" x14ac:dyDescent="0.35">
      <c r="A325" s="28">
        <f t="shared" si="4"/>
        <v>0</v>
      </c>
      <c r="B325"/>
      <c r="C325"/>
      <c r="D325"/>
      <c r="E325" s="1" t="s">
        <v>403</v>
      </c>
    </row>
    <row r="326" spans="1:5" x14ac:dyDescent="0.35">
      <c r="A326" s="28">
        <f t="shared" si="4"/>
        <v>0</v>
      </c>
      <c r="B326"/>
      <c r="C326"/>
      <c r="D326"/>
      <c r="E326" s="1" t="s">
        <v>403</v>
      </c>
    </row>
    <row r="327" spans="1:5" x14ac:dyDescent="0.35">
      <c r="A327" s="28">
        <f t="shared" si="4"/>
        <v>0</v>
      </c>
      <c r="B327"/>
      <c r="C327"/>
      <c r="D327"/>
      <c r="E327" s="1" t="s">
        <v>403</v>
      </c>
    </row>
    <row r="328" spans="1:5" x14ac:dyDescent="0.35">
      <c r="A328" s="28">
        <f t="shared" ref="A328:A391" si="5">IF(B328="",0,A327+1)</f>
        <v>0</v>
      </c>
      <c r="B328"/>
      <c r="C328"/>
      <c r="D328"/>
      <c r="E328" s="1" t="s">
        <v>403</v>
      </c>
    </row>
    <row r="329" spans="1:5" x14ac:dyDescent="0.35">
      <c r="A329" s="28">
        <f t="shared" si="5"/>
        <v>0</v>
      </c>
      <c r="B329"/>
      <c r="C329"/>
      <c r="D329"/>
      <c r="E329" s="1" t="s">
        <v>403</v>
      </c>
    </row>
    <row r="330" spans="1:5" x14ac:dyDescent="0.35">
      <c r="A330" s="28">
        <f t="shared" si="5"/>
        <v>0</v>
      </c>
      <c r="B330"/>
      <c r="C330"/>
      <c r="D330"/>
      <c r="E330" s="1" t="s">
        <v>403</v>
      </c>
    </row>
    <row r="331" spans="1:5" x14ac:dyDescent="0.35">
      <c r="A331" s="28">
        <f t="shared" si="5"/>
        <v>0</v>
      </c>
      <c r="B331"/>
      <c r="C331"/>
      <c r="D331"/>
      <c r="E331" s="1" t="s">
        <v>403</v>
      </c>
    </row>
    <row r="332" spans="1:5" x14ac:dyDescent="0.35">
      <c r="A332" s="28">
        <f t="shared" si="5"/>
        <v>0</v>
      </c>
      <c r="B332"/>
      <c r="C332"/>
      <c r="D332"/>
      <c r="E332" s="1" t="s">
        <v>403</v>
      </c>
    </row>
    <row r="333" spans="1:5" x14ac:dyDescent="0.35">
      <c r="A333" s="28">
        <f t="shared" si="5"/>
        <v>0</v>
      </c>
      <c r="B333"/>
      <c r="C333"/>
      <c r="D333"/>
      <c r="E333" s="1" t="s">
        <v>403</v>
      </c>
    </row>
    <row r="334" spans="1:5" x14ac:dyDescent="0.35">
      <c r="A334" s="28">
        <f t="shared" si="5"/>
        <v>0</v>
      </c>
      <c r="B334"/>
      <c r="C334"/>
      <c r="D334"/>
      <c r="E334" s="1" t="s">
        <v>403</v>
      </c>
    </row>
    <row r="335" spans="1:5" x14ac:dyDescent="0.35">
      <c r="A335" s="28">
        <f t="shared" si="5"/>
        <v>0</v>
      </c>
      <c r="B335"/>
      <c r="C335"/>
      <c r="D335"/>
      <c r="E335" s="1" t="s">
        <v>403</v>
      </c>
    </row>
    <row r="336" spans="1:5" x14ac:dyDescent="0.35">
      <c r="A336" s="28">
        <f t="shared" si="5"/>
        <v>0</v>
      </c>
      <c r="B336"/>
      <c r="C336"/>
      <c r="D336"/>
      <c r="E336" s="1" t="s">
        <v>403</v>
      </c>
    </row>
    <row r="337" spans="1:5" x14ac:dyDescent="0.35">
      <c r="A337" s="28">
        <f t="shared" si="5"/>
        <v>0</v>
      </c>
      <c r="B337"/>
      <c r="C337"/>
      <c r="D337"/>
      <c r="E337" s="1" t="s">
        <v>403</v>
      </c>
    </row>
    <row r="338" spans="1:5" x14ac:dyDescent="0.35">
      <c r="A338" s="28">
        <f t="shared" si="5"/>
        <v>0</v>
      </c>
      <c r="B338"/>
      <c r="C338"/>
      <c r="D338"/>
      <c r="E338" s="1" t="s">
        <v>403</v>
      </c>
    </row>
    <row r="339" spans="1:5" x14ac:dyDescent="0.35">
      <c r="A339" s="28">
        <f t="shared" si="5"/>
        <v>0</v>
      </c>
      <c r="B339"/>
      <c r="C339"/>
      <c r="D339"/>
      <c r="E339" s="1" t="s">
        <v>403</v>
      </c>
    </row>
    <row r="340" spans="1:5" x14ac:dyDescent="0.35">
      <c r="A340" s="28">
        <f t="shared" si="5"/>
        <v>0</v>
      </c>
      <c r="B340"/>
      <c r="C340"/>
      <c r="D340"/>
      <c r="E340" s="1" t="s">
        <v>403</v>
      </c>
    </row>
    <row r="341" spans="1:5" x14ac:dyDescent="0.35">
      <c r="A341" s="28">
        <f t="shared" si="5"/>
        <v>0</v>
      </c>
      <c r="B341"/>
      <c r="C341"/>
      <c r="D341"/>
      <c r="E341" s="1" t="s">
        <v>403</v>
      </c>
    </row>
    <row r="342" spans="1:5" x14ac:dyDescent="0.35">
      <c r="A342" s="28">
        <f t="shared" si="5"/>
        <v>0</v>
      </c>
      <c r="B342"/>
      <c r="C342"/>
      <c r="D342"/>
      <c r="E342" s="1" t="s">
        <v>403</v>
      </c>
    </row>
    <row r="343" spans="1:5" x14ac:dyDescent="0.35">
      <c r="A343" s="28">
        <f t="shared" si="5"/>
        <v>0</v>
      </c>
      <c r="B343"/>
      <c r="C343"/>
      <c r="D343"/>
      <c r="E343" s="1" t="s">
        <v>403</v>
      </c>
    </row>
    <row r="344" spans="1:5" x14ac:dyDescent="0.35">
      <c r="A344" s="28">
        <f t="shared" si="5"/>
        <v>0</v>
      </c>
      <c r="B344"/>
      <c r="C344"/>
      <c r="D344"/>
      <c r="E344" s="1" t="s">
        <v>403</v>
      </c>
    </row>
    <row r="345" spans="1:5" x14ac:dyDescent="0.35">
      <c r="A345" s="28">
        <f t="shared" si="5"/>
        <v>0</v>
      </c>
      <c r="B345"/>
      <c r="C345"/>
      <c r="D345"/>
      <c r="E345" s="1" t="s">
        <v>403</v>
      </c>
    </row>
    <row r="346" spans="1:5" x14ac:dyDescent="0.35">
      <c r="A346" s="28">
        <f t="shared" si="5"/>
        <v>0</v>
      </c>
      <c r="B346"/>
      <c r="C346"/>
      <c r="D346"/>
      <c r="E346" s="1" t="s">
        <v>403</v>
      </c>
    </row>
    <row r="347" spans="1:5" x14ac:dyDescent="0.35">
      <c r="A347" s="28">
        <f t="shared" si="5"/>
        <v>0</v>
      </c>
      <c r="B347"/>
      <c r="C347"/>
      <c r="D347"/>
      <c r="E347" s="1" t="s">
        <v>403</v>
      </c>
    </row>
    <row r="348" spans="1:5" x14ac:dyDescent="0.35">
      <c r="A348" s="28">
        <f t="shared" si="5"/>
        <v>0</v>
      </c>
      <c r="B348"/>
      <c r="C348"/>
      <c r="D348"/>
      <c r="E348" s="1" t="s">
        <v>403</v>
      </c>
    </row>
    <row r="349" spans="1:5" x14ac:dyDescent="0.35">
      <c r="A349" s="28">
        <f t="shared" si="5"/>
        <v>0</v>
      </c>
      <c r="B349"/>
      <c r="C349"/>
      <c r="D349"/>
      <c r="E349" s="1" t="s">
        <v>403</v>
      </c>
    </row>
    <row r="350" spans="1:5" x14ac:dyDescent="0.35">
      <c r="A350" s="28">
        <f t="shared" si="5"/>
        <v>0</v>
      </c>
      <c r="B350"/>
      <c r="C350"/>
      <c r="D350"/>
      <c r="E350" s="1" t="s">
        <v>403</v>
      </c>
    </row>
    <row r="351" spans="1:5" x14ac:dyDescent="0.35">
      <c r="A351" s="28">
        <f t="shared" si="5"/>
        <v>0</v>
      </c>
      <c r="B351"/>
      <c r="C351"/>
      <c r="D351"/>
      <c r="E351" s="1" t="s">
        <v>403</v>
      </c>
    </row>
    <row r="352" spans="1:5" x14ac:dyDescent="0.35">
      <c r="A352" s="28">
        <f t="shared" si="5"/>
        <v>0</v>
      </c>
      <c r="B352"/>
      <c r="C352"/>
      <c r="D352"/>
      <c r="E352" s="1" t="s">
        <v>403</v>
      </c>
    </row>
    <row r="353" spans="1:5" x14ac:dyDescent="0.35">
      <c r="A353" s="28">
        <f t="shared" si="5"/>
        <v>0</v>
      </c>
      <c r="B353"/>
      <c r="C353"/>
      <c r="D353"/>
      <c r="E353" s="1" t="s">
        <v>403</v>
      </c>
    </row>
    <row r="354" spans="1:5" x14ac:dyDescent="0.35">
      <c r="A354" s="28">
        <f t="shared" si="5"/>
        <v>0</v>
      </c>
      <c r="B354"/>
      <c r="C354"/>
      <c r="D354"/>
      <c r="E354" s="1" t="s">
        <v>403</v>
      </c>
    </row>
    <row r="355" spans="1:5" x14ac:dyDescent="0.35">
      <c r="A355" s="28">
        <f t="shared" si="5"/>
        <v>0</v>
      </c>
      <c r="B355"/>
      <c r="C355"/>
      <c r="D355"/>
      <c r="E355" s="1" t="s">
        <v>403</v>
      </c>
    </row>
    <row r="356" spans="1:5" x14ac:dyDescent="0.35">
      <c r="A356" s="28">
        <f t="shared" si="5"/>
        <v>0</v>
      </c>
      <c r="B356"/>
      <c r="C356"/>
      <c r="D356"/>
      <c r="E356" s="1" t="s">
        <v>403</v>
      </c>
    </row>
    <row r="357" spans="1:5" x14ac:dyDescent="0.35">
      <c r="A357" s="28">
        <f t="shared" si="5"/>
        <v>0</v>
      </c>
      <c r="B357"/>
      <c r="C357"/>
      <c r="D357"/>
      <c r="E357" s="1" t="s">
        <v>403</v>
      </c>
    </row>
    <row r="358" spans="1:5" x14ac:dyDescent="0.35">
      <c r="A358" s="28">
        <f t="shared" si="5"/>
        <v>0</v>
      </c>
      <c r="B358"/>
      <c r="C358"/>
      <c r="D358"/>
      <c r="E358" s="1" t="s">
        <v>403</v>
      </c>
    </row>
    <row r="359" spans="1:5" x14ac:dyDescent="0.35">
      <c r="A359" s="28">
        <f t="shared" si="5"/>
        <v>0</v>
      </c>
      <c r="B359"/>
      <c r="C359"/>
      <c r="D359"/>
      <c r="E359" s="1" t="s">
        <v>403</v>
      </c>
    </row>
    <row r="360" spans="1:5" x14ac:dyDescent="0.35">
      <c r="A360" s="28">
        <f t="shared" si="5"/>
        <v>0</v>
      </c>
      <c r="B360"/>
      <c r="C360"/>
      <c r="D360"/>
      <c r="E360" s="1" t="s">
        <v>403</v>
      </c>
    </row>
    <row r="361" spans="1:5" x14ac:dyDescent="0.35">
      <c r="A361" s="28">
        <f t="shared" si="5"/>
        <v>0</v>
      </c>
      <c r="B361"/>
      <c r="C361"/>
      <c r="D361"/>
      <c r="E361" s="1" t="s">
        <v>403</v>
      </c>
    </row>
    <row r="362" spans="1:5" x14ac:dyDescent="0.35">
      <c r="A362" s="28">
        <f t="shared" si="5"/>
        <v>0</v>
      </c>
      <c r="B362"/>
      <c r="C362"/>
      <c r="D362"/>
      <c r="E362" s="1" t="s">
        <v>403</v>
      </c>
    </row>
    <row r="363" spans="1:5" x14ac:dyDescent="0.35">
      <c r="A363" s="28">
        <f t="shared" si="5"/>
        <v>0</v>
      </c>
      <c r="B363"/>
      <c r="C363"/>
      <c r="D363"/>
      <c r="E363" s="1" t="s">
        <v>403</v>
      </c>
    </row>
    <row r="364" spans="1:5" x14ac:dyDescent="0.35">
      <c r="A364" s="28">
        <f t="shared" si="5"/>
        <v>0</v>
      </c>
      <c r="B364"/>
      <c r="C364"/>
      <c r="D364"/>
      <c r="E364" s="1" t="s">
        <v>403</v>
      </c>
    </row>
    <row r="365" spans="1:5" x14ac:dyDescent="0.35">
      <c r="A365" s="28">
        <f t="shared" si="5"/>
        <v>0</v>
      </c>
      <c r="B365"/>
      <c r="C365"/>
      <c r="D365"/>
      <c r="E365" s="1" t="s">
        <v>403</v>
      </c>
    </row>
    <row r="366" spans="1:5" x14ac:dyDescent="0.35">
      <c r="A366" s="28">
        <f t="shared" si="5"/>
        <v>0</v>
      </c>
      <c r="B366"/>
      <c r="C366"/>
      <c r="D366"/>
      <c r="E366" s="1" t="s">
        <v>403</v>
      </c>
    </row>
    <row r="367" spans="1:5" x14ac:dyDescent="0.35">
      <c r="A367" s="28">
        <f t="shared" si="5"/>
        <v>0</v>
      </c>
      <c r="B367"/>
      <c r="C367"/>
      <c r="D367"/>
      <c r="E367" s="1" t="s">
        <v>403</v>
      </c>
    </row>
    <row r="368" spans="1:5" x14ac:dyDescent="0.35">
      <c r="A368" s="28">
        <f t="shared" si="5"/>
        <v>0</v>
      </c>
      <c r="B368"/>
      <c r="C368"/>
      <c r="D368"/>
      <c r="E368" s="1" t="s">
        <v>403</v>
      </c>
    </row>
    <row r="369" spans="1:5" x14ac:dyDescent="0.35">
      <c r="A369" s="28">
        <f t="shared" si="5"/>
        <v>0</v>
      </c>
      <c r="B369"/>
      <c r="C369"/>
      <c r="D369"/>
      <c r="E369" s="1" t="s">
        <v>403</v>
      </c>
    </row>
    <row r="370" spans="1:5" x14ac:dyDescent="0.35">
      <c r="A370" s="28">
        <f t="shared" si="5"/>
        <v>0</v>
      </c>
      <c r="B370"/>
      <c r="C370"/>
      <c r="D370"/>
      <c r="E370" s="1" t="s">
        <v>403</v>
      </c>
    </row>
    <row r="371" spans="1:5" x14ac:dyDescent="0.35">
      <c r="A371" s="28">
        <f t="shared" si="5"/>
        <v>0</v>
      </c>
      <c r="B371"/>
      <c r="C371"/>
      <c r="D371"/>
      <c r="E371" s="1" t="s">
        <v>403</v>
      </c>
    </row>
    <row r="372" spans="1:5" x14ac:dyDescent="0.35">
      <c r="A372" s="28">
        <f t="shared" si="5"/>
        <v>0</v>
      </c>
      <c r="B372"/>
      <c r="C372"/>
      <c r="D372"/>
      <c r="E372" s="1" t="s">
        <v>403</v>
      </c>
    </row>
    <row r="373" spans="1:5" x14ac:dyDescent="0.35">
      <c r="A373" s="28">
        <f t="shared" si="5"/>
        <v>0</v>
      </c>
      <c r="B373"/>
      <c r="C373"/>
      <c r="D373"/>
      <c r="E373" s="1" t="s">
        <v>403</v>
      </c>
    </row>
    <row r="374" spans="1:5" x14ac:dyDescent="0.35">
      <c r="A374" s="28">
        <f t="shared" si="5"/>
        <v>0</v>
      </c>
      <c r="B374"/>
      <c r="C374"/>
      <c r="D374"/>
      <c r="E374" s="1" t="s">
        <v>403</v>
      </c>
    </row>
    <row r="375" spans="1:5" x14ac:dyDescent="0.35">
      <c r="A375" s="28">
        <f t="shared" si="5"/>
        <v>0</v>
      </c>
      <c r="B375"/>
      <c r="C375"/>
      <c r="D375"/>
      <c r="E375" s="1" t="s">
        <v>403</v>
      </c>
    </row>
    <row r="376" spans="1:5" x14ac:dyDescent="0.35">
      <c r="A376" s="28">
        <f t="shared" si="5"/>
        <v>0</v>
      </c>
      <c r="B376"/>
      <c r="C376"/>
      <c r="D376"/>
      <c r="E376" s="1" t="s">
        <v>403</v>
      </c>
    </row>
    <row r="377" spans="1:5" x14ac:dyDescent="0.35">
      <c r="A377" s="28">
        <f t="shared" si="5"/>
        <v>0</v>
      </c>
      <c r="B377"/>
      <c r="C377"/>
      <c r="D377"/>
      <c r="E377" s="1" t="s">
        <v>403</v>
      </c>
    </row>
    <row r="378" spans="1:5" x14ac:dyDescent="0.35">
      <c r="A378" s="28">
        <f t="shared" si="5"/>
        <v>0</v>
      </c>
      <c r="B378"/>
      <c r="C378"/>
      <c r="D378"/>
      <c r="E378" s="1" t="s">
        <v>403</v>
      </c>
    </row>
    <row r="379" spans="1:5" x14ac:dyDescent="0.35">
      <c r="A379" s="28">
        <f t="shared" si="5"/>
        <v>0</v>
      </c>
      <c r="B379"/>
      <c r="C379"/>
      <c r="D379"/>
      <c r="E379" s="1" t="s">
        <v>403</v>
      </c>
    </row>
    <row r="380" spans="1:5" x14ac:dyDescent="0.35">
      <c r="A380" s="28">
        <f t="shared" si="5"/>
        <v>0</v>
      </c>
      <c r="B380"/>
      <c r="C380"/>
      <c r="D380"/>
      <c r="E380" s="1" t="s">
        <v>403</v>
      </c>
    </row>
    <row r="381" spans="1:5" x14ac:dyDescent="0.35">
      <c r="A381" s="28">
        <f t="shared" si="5"/>
        <v>0</v>
      </c>
      <c r="B381"/>
      <c r="C381"/>
      <c r="D381"/>
      <c r="E381" s="1" t="s">
        <v>403</v>
      </c>
    </row>
    <row r="382" spans="1:5" x14ac:dyDescent="0.35">
      <c r="A382" s="28">
        <f t="shared" si="5"/>
        <v>0</v>
      </c>
      <c r="B382"/>
      <c r="C382"/>
      <c r="D382"/>
      <c r="E382" s="1" t="s">
        <v>403</v>
      </c>
    </row>
    <row r="383" spans="1:5" x14ac:dyDescent="0.35">
      <c r="A383" s="28">
        <f t="shared" si="5"/>
        <v>0</v>
      </c>
      <c r="B383"/>
      <c r="C383"/>
      <c r="D383"/>
      <c r="E383" s="1" t="s">
        <v>403</v>
      </c>
    </row>
    <row r="384" spans="1:5" x14ac:dyDescent="0.35">
      <c r="A384" s="28">
        <f t="shared" si="5"/>
        <v>0</v>
      </c>
      <c r="B384"/>
      <c r="C384"/>
      <c r="D384"/>
      <c r="E384" s="1" t="s">
        <v>403</v>
      </c>
    </row>
    <row r="385" spans="1:5" x14ac:dyDescent="0.35">
      <c r="A385" s="28">
        <f t="shared" si="5"/>
        <v>0</v>
      </c>
      <c r="B385"/>
      <c r="C385"/>
      <c r="D385"/>
      <c r="E385" s="1" t="s">
        <v>403</v>
      </c>
    </row>
    <row r="386" spans="1:5" x14ac:dyDescent="0.35">
      <c r="A386" s="28">
        <f t="shared" si="5"/>
        <v>0</v>
      </c>
      <c r="B386"/>
      <c r="C386"/>
      <c r="D386"/>
      <c r="E386" s="1" t="s">
        <v>403</v>
      </c>
    </row>
    <row r="387" spans="1:5" x14ac:dyDescent="0.35">
      <c r="A387" s="28">
        <f t="shared" si="5"/>
        <v>0</v>
      </c>
      <c r="B387"/>
      <c r="C387"/>
      <c r="D387"/>
      <c r="E387" s="1" t="s">
        <v>403</v>
      </c>
    </row>
    <row r="388" spans="1:5" x14ac:dyDescent="0.35">
      <c r="A388" s="28">
        <f t="shared" si="5"/>
        <v>0</v>
      </c>
      <c r="B388"/>
      <c r="C388"/>
      <c r="D388"/>
      <c r="E388" s="1" t="s">
        <v>403</v>
      </c>
    </row>
    <row r="389" spans="1:5" x14ac:dyDescent="0.35">
      <c r="A389" s="28">
        <f t="shared" si="5"/>
        <v>0</v>
      </c>
      <c r="B389"/>
      <c r="C389"/>
      <c r="D389"/>
      <c r="E389" s="1" t="s">
        <v>403</v>
      </c>
    </row>
    <row r="390" spans="1:5" x14ac:dyDescent="0.35">
      <c r="A390" s="28">
        <f t="shared" si="5"/>
        <v>0</v>
      </c>
      <c r="B390"/>
      <c r="C390"/>
      <c r="D390"/>
      <c r="E390" s="1" t="s">
        <v>403</v>
      </c>
    </row>
    <row r="391" spans="1:5" x14ac:dyDescent="0.35">
      <c r="A391" s="28">
        <f t="shared" si="5"/>
        <v>0</v>
      </c>
      <c r="B391"/>
      <c r="C391"/>
      <c r="D391"/>
      <c r="E391" s="1" t="s">
        <v>403</v>
      </c>
    </row>
    <row r="392" spans="1:5" x14ac:dyDescent="0.35">
      <c r="A392" s="28">
        <f t="shared" ref="A392" si="6">IF(B392="",0,A391+1)</f>
        <v>0</v>
      </c>
      <c r="B392"/>
      <c r="C392"/>
      <c r="D392"/>
      <c r="E392" s="1" t="s">
        <v>403</v>
      </c>
    </row>
  </sheetData>
  <mergeCells count="3">
    <mergeCell ref="A5:A6"/>
    <mergeCell ref="A1:D1"/>
    <mergeCell ref="B5:E5"/>
  </mergeCells>
  <phoneticPr fontId="2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mdXoaDL">
          <controlPr defaultSize="0" print="0" autoLine="0" r:id="rId4">
            <anchor>
              <from>
                <xdr:col>3</xdr:col>
                <xdr:colOff>352425</xdr:colOff>
                <xdr:row>0</xdr:row>
                <xdr:rowOff>66675</xdr:rowOff>
              </from>
              <to>
                <xdr:col>4</xdr:col>
                <xdr:colOff>485775</xdr:colOff>
                <xdr:row>1</xdr:row>
                <xdr:rowOff>133350</xdr:rowOff>
              </to>
            </anchor>
          </controlPr>
        </control>
      </mc:Choice>
      <mc:Fallback>
        <control shapeId="6146" r:id="rId3" name="cmdXoaDL"/>
      </mc:Fallback>
    </mc:AlternateContent>
    <mc:AlternateContent xmlns:mc="http://schemas.openxmlformats.org/markup-compatibility/2006">
      <mc:Choice Requires="x14">
        <control shapeId="6147" r:id="rId5" name="Button 3">
          <controlPr defaultSize="0" print="0" autoFill="0" autoPict="0">
            <anchor moveWithCells="1" sizeWithCells="1">
              <from>
                <xdr:col>4</xdr:col>
                <xdr:colOff>66675</xdr:colOff>
                <xdr:row>0</xdr:row>
                <xdr:rowOff>85725</xdr:rowOff>
              </from>
              <to>
                <xdr:col>4</xdr:col>
                <xdr:colOff>866775</xdr:colOff>
                <xdr:row>1</xdr:row>
                <xdr:rowOff>152400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4EA90-958A-4807-9B87-B7206DB1EE6C}">
  <sheetPr codeName="Sheet2"/>
  <dimension ref="A1:C34"/>
  <sheetViews>
    <sheetView topLeftCell="A15" workbookViewId="0">
      <selection activeCell="C1" sqref="C1:C34"/>
    </sheetView>
  </sheetViews>
  <sheetFormatPr defaultRowHeight="15" x14ac:dyDescent="0.25"/>
  <sheetData>
    <row r="1" spans="1:3" x14ac:dyDescent="0.25">
      <c r="A1" t="s">
        <v>405</v>
      </c>
      <c r="B1" t="s">
        <v>439</v>
      </c>
      <c r="C1" t="str">
        <f>"ALTER DATABASE ["&amp;B1&amp;"] SET ONLINE"</f>
        <v>ALTER DATABASE [24001231] SET ONLINE</v>
      </c>
    </row>
    <row r="2" spans="1:3" x14ac:dyDescent="0.25">
      <c r="A2" t="s">
        <v>406</v>
      </c>
      <c r="B2" t="s">
        <v>440</v>
      </c>
      <c r="C2" t="str">
        <f t="shared" ref="C2:C34" si="0">"ALTER DATABASE ["&amp;B2&amp;"] SET ONLINE"</f>
        <v>ALTER DATABASE [24002331] SET ONLINE</v>
      </c>
    </row>
    <row r="3" spans="1:3" x14ac:dyDescent="0.25">
      <c r="A3" t="s">
        <v>407</v>
      </c>
      <c r="B3" t="s">
        <v>441</v>
      </c>
      <c r="C3" t="str">
        <f t="shared" si="0"/>
        <v>ALTER DATABASE [24000221] SET ONLINE</v>
      </c>
    </row>
    <row r="4" spans="1:3" x14ac:dyDescent="0.25">
      <c r="A4" t="s">
        <v>408</v>
      </c>
      <c r="B4" t="s">
        <v>442</v>
      </c>
      <c r="C4" t="str">
        <f t="shared" si="0"/>
        <v>ALTER DATABASE [24001241] SET ONLINE</v>
      </c>
    </row>
    <row r="5" spans="1:3" x14ac:dyDescent="0.25">
      <c r="A5" t="s">
        <v>409</v>
      </c>
      <c r="B5" t="s">
        <v>443</v>
      </c>
      <c r="C5" t="str">
        <f t="shared" si="0"/>
        <v>ALTER DATABASE [24001071] SET ONLINE</v>
      </c>
    </row>
    <row r="6" spans="1:3" x14ac:dyDescent="0.25">
      <c r="A6" t="s">
        <v>410</v>
      </c>
      <c r="B6" t="s">
        <v>444</v>
      </c>
      <c r="C6" t="str">
        <f t="shared" si="0"/>
        <v>ALTER DATABASE [24002401] SET ONLINE</v>
      </c>
    </row>
    <row r="7" spans="1:3" x14ac:dyDescent="0.25">
      <c r="A7" t="s">
        <v>411</v>
      </c>
      <c r="B7" t="s">
        <v>445</v>
      </c>
      <c r="C7" t="str">
        <f t="shared" si="0"/>
        <v>ALTER DATABASE [24000441] SET ONLINE</v>
      </c>
    </row>
    <row r="8" spans="1:3" x14ac:dyDescent="0.25">
      <c r="A8" t="s">
        <v>412</v>
      </c>
      <c r="B8" t="s">
        <v>446</v>
      </c>
      <c r="C8" t="str">
        <f t="shared" si="0"/>
        <v>ALTER DATABASE [24000461] SET ONLINE</v>
      </c>
    </row>
    <row r="9" spans="1:3" x14ac:dyDescent="0.25">
      <c r="A9" t="s">
        <v>413</v>
      </c>
      <c r="B9" t="s">
        <v>447</v>
      </c>
      <c r="C9" t="str">
        <f t="shared" si="0"/>
        <v>ALTER DATABASE [24002791] SET ONLINE</v>
      </c>
    </row>
    <row r="10" spans="1:3" x14ac:dyDescent="0.25">
      <c r="A10" t="s">
        <v>414</v>
      </c>
      <c r="B10" t="s">
        <v>448</v>
      </c>
      <c r="C10" t="str">
        <f t="shared" si="0"/>
        <v>ALTER DATABASE [24000701] SET ONLINE</v>
      </c>
    </row>
    <row r="11" spans="1:3" x14ac:dyDescent="0.25">
      <c r="A11" t="s">
        <v>415</v>
      </c>
      <c r="B11" t="s">
        <v>449</v>
      </c>
      <c r="C11" t="str">
        <f t="shared" si="0"/>
        <v>ALTER DATABASE [24000431] SET ONLINE</v>
      </c>
    </row>
    <row r="12" spans="1:3" x14ac:dyDescent="0.25">
      <c r="A12" t="s">
        <v>416</v>
      </c>
      <c r="B12" t="s">
        <v>450</v>
      </c>
      <c r="C12" t="str">
        <f t="shared" si="0"/>
        <v>ALTER DATABASE [24000151] SET ONLINE</v>
      </c>
    </row>
    <row r="13" spans="1:3" x14ac:dyDescent="0.25">
      <c r="A13" t="s">
        <v>417</v>
      </c>
      <c r="B13" t="s">
        <v>451</v>
      </c>
      <c r="C13" t="str">
        <f t="shared" si="0"/>
        <v>ALTER DATABASE [24001881] SET ONLINE</v>
      </c>
    </row>
    <row r="14" spans="1:3" x14ac:dyDescent="0.25">
      <c r="A14" t="s">
        <v>418</v>
      </c>
      <c r="B14" t="s">
        <v>452</v>
      </c>
      <c r="C14" t="str">
        <f t="shared" si="0"/>
        <v>ALTER DATABASE [24002551] SET ONLINE</v>
      </c>
    </row>
    <row r="15" spans="1:3" x14ac:dyDescent="0.25">
      <c r="A15" t="s">
        <v>419</v>
      </c>
      <c r="B15" t="s">
        <v>453</v>
      </c>
      <c r="C15" t="str">
        <f t="shared" si="0"/>
        <v>ALTER DATABASE [24000061] SET ONLINE</v>
      </c>
    </row>
    <row r="16" spans="1:3" x14ac:dyDescent="0.25">
      <c r="A16" t="s">
        <v>420</v>
      </c>
      <c r="B16" t="s">
        <v>454</v>
      </c>
      <c r="C16" t="str">
        <f t="shared" si="0"/>
        <v>ALTER DATABASE [24002081] SET ONLINE</v>
      </c>
    </row>
    <row r="17" spans="1:3" x14ac:dyDescent="0.25">
      <c r="A17" t="s">
        <v>421</v>
      </c>
      <c r="B17" t="s">
        <v>455</v>
      </c>
      <c r="C17" t="str">
        <f t="shared" si="0"/>
        <v>ALTER DATABASE [24000931] SET ONLINE</v>
      </c>
    </row>
    <row r="18" spans="1:3" x14ac:dyDescent="0.25">
      <c r="A18" t="s">
        <v>422</v>
      </c>
      <c r="B18" t="s">
        <v>456</v>
      </c>
      <c r="C18" t="str">
        <f t="shared" si="0"/>
        <v>ALTER DATABASE [24001221] SET ONLINE</v>
      </c>
    </row>
    <row r="19" spans="1:3" x14ac:dyDescent="0.25">
      <c r="A19" t="s">
        <v>423</v>
      </c>
      <c r="B19" t="s">
        <v>457</v>
      </c>
      <c r="C19" t="str">
        <f t="shared" si="0"/>
        <v>ALTER DATABASE [24001821] SET ONLINE</v>
      </c>
    </row>
    <row r="20" spans="1:3" x14ac:dyDescent="0.25">
      <c r="A20" t="s">
        <v>424</v>
      </c>
      <c r="B20" t="s">
        <v>458</v>
      </c>
      <c r="C20" t="str">
        <f t="shared" si="0"/>
        <v>ALTER DATABASE [24000541] SET ONLINE</v>
      </c>
    </row>
    <row r="21" spans="1:3" x14ac:dyDescent="0.25">
      <c r="A21" t="s">
        <v>425</v>
      </c>
      <c r="B21" t="s">
        <v>459</v>
      </c>
      <c r="C21" t="str">
        <f t="shared" si="0"/>
        <v>ALTER DATABASE [24001921] SET ONLINE</v>
      </c>
    </row>
    <row r="22" spans="1:3" x14ac:dyDescent="0.25">
      <c r="A22" t="s">
        <v>426</v>
      </c>
      <c r="B22" t="s">
        <v>460</v>
      </c>
      <c r="C22" t="str">
        <f t="shared" si="0"/>
        <v>ALTER DATABASE [24001791] SET ONLINE</v>
      </c>
    </row>
    <row r="23" spans="1:3" x14ac:dyDescent="0.25">
      <c r="A23" t="s">
        <v>427</v>
      </c>
      <c r="B23" t="s">
        <v>461</v>
      </c>
      <c r="C23" t="str">
        <f t="shared" si="0"/>
        <v>ALTER DATABASE [24002211] SET ONLINE</v>
      </c>
    </row>
    <row r="24" spans="1:3" x14ac:dyDescent="0.25">
      <c r="A24" t="s">
        <v>428</v>
      </c>
      <c r="B24" t="s">
        <v>462</v>
      </c>
      <c r="C24" t="str">
        <f t="shared" si="0"/>
        <v>ALTER DATABASE [24002741] SET ONLINE</v>
      </c>
    </row>
    <row r="25" spans="1:3" x14ac:dyDescent="0.25">
      <c r="A25" t="s">
        <v>429</v>
      </c>
      <c r="B25" t="s">
        <v>463</v>
      </c>
      <c r="C25" t="str">
        <f t="shared" si="0"/>
        <v>ALTER DATABASE [23001411] SET ONLINE</v>
      </c>
    </row>
    <row r="26" spans="1:3" x14ac:dyDescent="0.25">
      <c r="A26" t="s">
        <v>430</v>
      </c>
      <c r="B26" t="s">
        <v>464</v>
      </c>
      <c r="C26" t="str">
        <f t="shared" si="0"/>
        <v>ALTER DATABASE [24001931] SET ONLINE</v>
      </c>
    </row>
    <row r="27" spans="1:3" x14ac:dyDescent="0.25">
      <c r="A27" t="s">
        <v>431</v>
      </c>
      <c r="B27" t="s">
        <v>465</v>
      </c>
      <c r="C27" t="str">
        <f t="shared" si="0"/>
        <v>ALTER DATABASE [24001701] SET ONLINE</v>
      </c>
    </row>
    <row r="28" spans="1:3" x14ac:dyDescent="0.25">
      <c r="A28" t="s">
        <v>432</v>
      </c>
      <c r="B28" t="s">
        <v>466</v>
      </c>
      <c r="C28" t="str">
        <f t="shared" si="0"/>
        <v>ALTER DATABASE [24000241] SET ONLINE</v>
      </c>
    </row>
    <row r="29" spans="1:3" x14ac:dyDescent="0.25">
      <c r="A29" t="s">
        <v>433</v>
      </c>
      <c r="B29" t="s">
        <v>467</v>
      </c>
      <c r="C29" t="str">
        <f t="shared" si="0"/>
        <v>ALTER DATABASE [23002221] SET ONLINE</v>
      </c>
    </row>
    <row r="30" spans="1:3" x14ac:dyDescent="0.25">
      <c r="A30" t="s">
        <v>434</v>
      </c>
      <c r="B30" t="s">
        <v>468</v>
      </c>
      <c r="C30" t="str">
        <f t="shared" si="0"/>
        <v>ALTER DATABASE [24002291] SET ONLINE</v>
      </c>
    </row>
    <row r="31" spans="1:3" x14ac:dyDescent="0.25">
      <c r="A31" t="s">
        <v>435</v>
      </c>
      <c r="B31" t="s">
        <v>469</v>
      </c>
      <c r="C31" t="str">
        <f t="shared" si="0"/>
        <v>ALTER DATABASE [24000581] SET ONLINE</v>
      </c>
    </row>
    <row r="32" spans="1:3" x14ac:dyDescent="0.25">
      <c r="A32" t="s">
        <v>436</v>
      </c>
      <c r="B32" t="s">
        <v>470</v>
      </c>
      <c r="C32" t="str">
        <f t="shared" si="0"/>
        <v>ALTER DATABASE [24002891] SET ONLINE</v>
      </c>
    </row>
    <row r="33" spans="1:3" x14ac:dyDescent="0.25">
      <c r="A33" t="s">
        <v>437</v>
      </c>
      <c r="B33" t="s">
        <v>471</v>
      </c>
      <c r="C33" t="str">
        <f t="shared" si="0"/>
        <v>ALTER DATABASE [24002201] SET ONLINE</v>
      </c>
    </row>
    <row r="34" spans="1:3" x14ac:dyDescent="0.25">
      <c r="A34" t="s">
        <v>438</v>
      </c>
      <c r="B34" t="s">
        <v>472</v>
      </c>
      <c r="C34" t="str">
        <f t="shared" si="0"/>
        <v>ALTER DATABASE [24003631] SET ONLINE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angDiem"/>
  <dimension ref="A1:M1824"/>
  <sheetViews>
    <sheetView zoomScaleNormal="100" workbookViewId="0">
      <selection activeCell="E5" sqref="E5:E6"/>
    </sheetView>
  </sheetViews>
  <sheetFormatPr defaultColWidth="0" defaultRowHeight="16.5" zeroHeight="1" x14ac:dyDescent="0.3"/>
  <cols>
    <col min="1" max="1" width="5.5703125" style="8" bestFit="1" customWidth="1"/>
    <col min="2" max="2" width="14.85546875" style="49" bestFit="1" customWidth="1"/>
    <col min="3" max="3" width="22.85546875" style="8" bestFit="1" customWidth="1"/>
    <col min="4" max="4" width="19" style="8" bestFit="1" customWidth="1"/>
    <col min="5" max="7" width="19" style="8" customWidth="1"/>
    <col min="8" max="8" width="9.85546875" style="8" customWidth="1"/>
    <col min="9" max="9" width="11.85546875" style="8" bestFit="1" customWidth="1"/>
    <col min="10" max="10" width="16.5703125" style="8" customWidth="1"/>
    <col min="11" max="11" width="48" style="8" bestFit="1" customWidth="1"/>
    <col min="12" max="13" width="0" style="8" hidden="1" customWidth="1"/>
    <col min="14" max="16384" width="9.140625" style="8" hidden="1"/>
  </cols>
  <sheetData>
    <row r="1" spans="1:11" ht="26.25" customHeight="1" x14ac:dyDescent="0.3">
      <c r="A1" s="57" t="s">
        <v>44</v>
      </c>
      <c r="B1" s="57"/>
      <c r="C1" s="57"/>
      <c r="D1" s="57"/>
      <c r="E1" s="57"/>
      <c r="F1" s="57"/>
      <c r="G1" s="57"/>
      <c r="H1" s="57"/>
      <c r="I1" s="57"/>
      <c r="K1" s="8" t="str">
        <f>RIGHT(K2,8)</f>
        <v>14102211</v>
      </c>
    </row>
    <row r="2" spans="1:11" ht="18" x14ac:dyDescent="0.3">
      <c r="A2" s="63" t="s">
        <v>62</v>
      </c>
      <c r="B2" s="63"/>
      <c r="C2" s="63"/>
      <c r="D2" s="63"/>
      <c r="E2" s="63"/>
      <c r="F2" s="63"/>
      <c r="G2" s="63"/>
      <c r="H2" s="63"/>
      <c r="I2" s="63"/>
      <c r="K2" s="41" t="s">
        <v>99</v>
      </c>
    </row>
    <row r="3" spans="1:11" ht="18" x14ac:dyDescent="0.35">
      <c r="A3" s="64" t="s">
        <v>37</v>
      </c>
      <c r="B3" s="64"/>
      <c r="C3" s="35" t="str">
        <f>DanhSach!C3</f>
        <v>Mr Quân</v>
      </c>
      <c r="D3" s="22"/>
      <c r="E3" s="22"/>
      <c r="F3" s="22"/>
      <c r="G3" s="22"/>
      <c r="H3" s="22"/>
      <c r="I3" s="21"/>
    </row>
    <row r="4" spans="1:11" ht="18.75" thickBot="1" x14ac:dyDescent="0.4">
      <c r="A4" s="23"/>
      <c r="B4" s="58"/>
      <c r="C4" s="58"/>
      <c r="D4" s="24"/>
      <c r="E4" s="24"/>
      <c r="F4" s="24"/>
      <c r="G4" s="24"/>
      <c r="H4" s="24"/>
      <c r="I4" s="22"/>
    </row>
    <row r="5" spans="1:11" ht="15.75" customHeight="1" x14ac:dyDescent="0.3">
      <c r="A5" s="59" t="s">
        <v>39</v>
      </c>
      <c r="B5" s="61" t="s">
        <v>40</v>
      </c>
      <c r="C5" s="62"/>
      <c r="D5" s="62"/>
      <c r="E5" s="65" t="s">
        <v>404</v>
      </c>
      <c r="F5" s="65" t="s">
        <v>23</v>
      </c>
      <c r="G5" s="67" t="s">
        <v>74</v>
      </c>
      <c r="H5" s="55" t="s">
        <v>95</v>
      </c>
      <c r="I5" s="55" t="s">
        <v>96</v>
      </c>
      <c r="J5" s="55" t="s">
        <v>102</v>
      </c>
      <c r="K5" s="55" t="s">
        <v>122</v>
      </c>
    </row>
    <row r="6" spans="1:11" ht="18" x14ac:dyDescent="0.3">
      <c r="A6" s="60"/>
      <c r="B6" s="45" t="s">
        <v>41</v>
      </c>
      <c r="C6" s="40" t="s">
        <v>42</v>
      </c>
      <c r="D6" s="40" t="s">
        <v>43</v>
      </c>
      <c r="E6" s="66"/>
      <c r="F6" s="66"/>
      <c r="G6" s="68"/>
      <c r="H6" s="56"/>
      <c r="I6" s="56"/>
      <c r="J6" s="56"/>
      <c r="K6" s="56"/>
    </row>
    <row r="7" spans="1:11" ht="18" x14ac:dyDescent="0.3">
      <c r="A7" s="30">
        <f>IF(B7="",0,A6+1)</f>
        <v>1</v>
      </c>
      <c r="B7" s="46" t="s">
        <v>473</v>
      </c>
      <c r="C7" s="25" t="str">
        <f>IFERROR(VLOOKUP(B7,DanhSachSV,2,FALSE),"")</f>
        <v>Phan Hữu</v>
      </c>
      <c r="D7" s="25" t="str">
        <f t="shared" ref="D7:D64" si="0">IFERROR(VLOOKUP(B7,DanhSachSV,3,FALSE),"")</f>
        <v>Thoại</v>
      </c>
      <c r="E7" s="25">
        <v>4</v>
      </c>
      <c r="F7" s="25">
        <v>1.3333333333333335</v>
      </c>
      <c r="G7" s="25">
        <v>0</v>
      </c>
      <c r="H7" s="42">
        <v>5.3333333333333339</v>
      </c>
      <c r="I7" s="43">
        <f>IF(MOD(H7,1)&gt;=0.75,1,IF(MOD(H7,1)&gt;=0.25,0.5,0))+INT(H7)</f>
        <v>5.5</v>
      </c>
      <c r="J7" s="39"/>
    </row>
    <row r="8" spans="1:11" ht="18" x14ac:dyDescent="0.3">
      <c r="A8" s="30">
        <f t="shared" ref="A8:A71" si="1">IF(B8="",0,A7+1)</f>
        <v>0</v>
      </c>
      <c r="B8" s="47"/>
      <c r="C8" s="25" t="str">
        <f t="shared" ref="C8:C64" si="2">IFERROR(VLOOKUP(B8,DanhSachSV,2,FALSE),"")</f>
        <v/>
      </c>
      <c r="D8" s="25" t="str">
        <f t="shared" si="0"/>
        <v/>
      </c>
      <c r="E8" s="25"/>
      <c r="F8" s="25"/>
      <c r="G8" s="25"/>
      <c r="H8" s="42"/>
      <c r="I8" s="43">
        <f t="shared" ref="I8:I65" si="3">IF(MOD(H8,1)&gt;=0.75,1,IF(MOD(H8,1)&gt;=0.25,0.5,0))+INT(H8)</f>
        <v>0</v>
      </c>
      <c r="J8" s="39"/>
    </row>
    <row r="9" spans="1:11" ht="18" x14ac:dyDescent="0.3">
      <c r="A9" s="30">
        <f t="shared" si="1"/>
        <v>0</v>
      </c>
      <c r="B9" s="47"/>
      <c r="C9" s="25" t="str">
        <f t="shared" si="2"/>
        <v/>
      </c>
      <c r="D9" s="25" t="str">
        <f t="shared" si="0"/>
        <v/>
      </c>
      <c r="E9" s="25"/>
      <c r="F9" s="25"/>
      <c r="G9" s="25"/>
      <c r="H9" s="42"/>
      <c r="I9" s="43">
        <f t="shared" si="3"/>
        <v>0</v>
      </c>
      <c r="J9" s="39"/>
    </row>
    <row r="10" spans="1:11" ht="18" x14ac:dyDescent="0.3">
      <c r="A10" s="30">
        <f t="shared" si="1"/>
        <v>0</v>
      </c>
      <c r="B10" s="47"/>
      <c r="C10" s="25" t="str">
        <f t="shared" si="2"/>
        <v/>
      </c>
      <c r="D10" s="25" t="str">
        <f t="shared" si="0"/>
        <v/>
      </c>
      <c r="E10" s="25"/>
      <c r="F10" s="25"/>
      <c r="G10" s="25"/>
      <c r="H10" s="42"/>
      <c r="I10" s="43">
        <f t="shared" si="3"/>
        <v>0</v>
      </c>
      <c r="J10" s="39"/>
    </row>
    <row r="11" spans="1:11" ht="18" x14ac:dyDescent="0.3">
      <c r="A11" s="30">
        <f t="shared" si="1"/>
        <v>0</v>
      </c>
      <c r="B11" s="47"/>
      <c r="C11" s="25" t="str">
        <f t="shared" si="2"/>
        <v/>
      </c>
      <c r="D11" s="25" t="str">
        <f t="shared" si="0"/>
        <v/>
      </c>
      <c r="E11" s="25"/>
      <c r="F11" s="25"/>
      <c r="G11" s="25"/>
      <c r="H11" s="42"/>
      <c r="I11" s="43">
        <f t="shared" si="3"/>
        <v>0</v>
      </c>
      <c r="J11" s="39"/>
    </row>
    <row r="12" spans="1:11" ht="18" x14ac:dyDescent="0.3">
      <c r="A12" s="30">
        <f t="shared" si="1"/>
        <v>0</v>
      </c>
      <c r="B12" s="47"/>
      <c r="C12" s="25" t="str">
        <f t="shared" si="2"/>
        <v/>
      </c>
      <c r="D12" s="25" t="str">
        <f t="shared" si="0"/>
        <v/>
      </c>
      <c r="E12" s="25"/>
      <c r="F12" s="25"/>
      <c r="G12" s="25"/>
      <c r="H12" s="42"/>
      <c r="I12" s="43">
        <f t="shared" si="3"/>
        <v>0</v>
      </c>
      <c r="J12" s="39"/>
    </row>
    <row r="13" spans="1:11" ht="18" x14ac:dyDescent="0.3">
      <c r="A13" s="30">
        <f t="shared" si="1"/>
        <v>0</v>
      </c>
      <c r="B13" s="47"/>
      <c r="C13" s="25" t="str">
        <f t="shared" si="2"/>
        <v/>
      </c>
      <c r="D13" s="25" t="str">
        <f t="shared" si="0"/>
        <v/>
      </c>
      <c r="E13" s="25"/>
      <c r="F13" s="25"/>
      <c r="G13" s="25"/>
      <c r="H13" s="42"/>
      <c r="I13" s="43">
        <f t="shared" si="3"/>
        <v>0</v>
      </c>
      <c r="J13" s="39"/>
    </row>
    <row r="14" spans="1:11" ht="18" x14ac:dyDescent="0.3">
      <c r="A14" s="30">
        <f t="shared" si="1"/>
        <v>0</v>
      </c>
      <c r="B14" s="47"/>
      <c r="C14" s="25" t="str">
        <f t="shared" si="2"/>
        <v/>
      </c>
      <c r="D14" s="25" t="str">
        <f t="shared" si="0"/>
        <v/>
      </c>
      <c r="E14" s="25"/>
      <c r="F14" s="25"/>
      <c r="G14" s="25"/>
      <c r="H14" s="42"/>
      <c r="I14" s="43">
        <f t="shared" si="3"/>
        <v>0</v>
      </c>
      <c r="J14" s="39"/>
    </row>
    <row r="15" spans="1:11" ht="18" x14ac:dyDescent="0.3">
      <c r="A15" s="30">
        <f t="shared" si="1"/>
        <v>0</v>
      </c>
      <c r="B15" s="46"/>
      <c r="C15" s="25" t="str">
        <f t="shared" si="2"/>
        <v/>
      </c>
      <c r="D15" s="25" t="str">
        <f t="shared" si="0"/>
        <v/>
      </c>
      <c r="E15" s="25"/>
      <c r="F15" s="25"/>
      <c r="G15" s="25"/>
      <c r="H15" s="25"/>
      <c r="I15" s="43">
        <f t="shared" si="3"/>
        <v>0</v>
      </c>
      <c r="J15" s="39"/>
    </row>
    <row r="16" spans="1:11" ht="18" x14ac:dyDescent="0.3">
      <c r="A16" s="30">
        <f t="shared" si="1"/>
        <v>0</v>
      </c>
      <c r="B16" s="46"/>
      <c r="C16" s="25" t="str">
        <f t="shared" si="2"/>
        <v/>
      </c>
      <c r="D16" s="25" t="str">
        <f t="shared" si="0"/>
        <v/>
      </c>
      <c r="E16" s="25"/>
      <c r="F16" s="25"/>
      <c r="G16" s="25"/>
      <c r="H16" s="25"/>
      <c r="I16" s="43">
        <f t="shared" si="3"/>
        <v>0</v>
      </c>
      <c r="J16" s="39"/>
    </row>
    <row r="17" spans="1:10" ht="18" x14ac:dyDescent="0.3">
      <c r="A17" s="30">
        <f t="shared" si="1"/>
        <v>0</v>
      </c>
      <c r="B17" s="46"/>
      <c r="C17" s="25" t="str">
        <f t="shared" si="2"/>
        <v/>
      </c>
      <c r="D17" s="25" t="str">
        <f t="shared" si="0"/>
        <v/>
      </c>
      <c r="E17" s="25"/>
      <c r="F17" s="25"/>
      <c r="G17" s="25"/>
      <c r="H17" s="25"/>
      <c r="I17" s="43">
        <f t="shared" si="3"/>
        <v>0</v>
      </c>
      <c r="J17" s="39"/>
    </row>
    <row r="18" spans="1:10" ht="18" x14ac:dyDescent="0.3">
      <c r="A18" s="30">
        <f t="shared" si="1"/>
        <v>0</v>
      </c>
      <c r="B18" s="46"/>
      <c r="C18" s="25" t="str">
        <f t="shared" si="2"/>
        <v/>
      </c>
      <c r="D18" s="25" t="str">
        <f t="shared" si="0"/>
        <v/>
      </c>
      <c r="E18" s="25"/>
      <c r="F18" s="25"/>
      <c r="G18" s="25"/>
      <c r="H18" s="25"/>
      <c r="I18" s="43">
        <f t="shared" si="3"/>
        <v>0</v>
      </c>
      <c r="J18" s="39"/>
    </row>
    <row r="19" spans="1:10" ht="18" x14ac:dyDescent="0.3">
      <c r="A19" s="30">
        <f t="shared" si="1"/>
        <v>0</v>
      </c>
      <c r="B19" s="46"/>
      <c r="C19" s="25" t="str">
        <f t="shared" si="2"/>
        <v/>
      </c>
      <c r="D19" s="25" t="str">
        <f t="shared" si="0"/>
        <v/>
      </c>
      <c r="E19" s="25"/>
      <c r="F19" s="25"/>
      <c r="G19" s="25"/>
      <c r="H19" s="25"/>
      <c r="I19" s="43">
        <f t="shared" si="3"/>
        <v>0</v>
      </c>
      <c r="J19" s="39"/>
    </row>
    <row r="20" spans="1:10" ht="18" x14ac:dyDescent="0.3">
      <c r="A20" s="30">
        <f t="shared" si="1"/>
        <v>0</v>
      </c>
      <c r="B20" s="46"/>
      <c r="C20" s="25" t="str">
        <f t="shared" si="2"/>
        <v/>
      </c>
      <c r="D20" s="25" t="str">
        <f t="shared" si="0"/>
        <v/>
      </c>
      <c r="E20" s="25"/>
      <c r="F20" s="25"/>
      <c r="G20" s="25"/>
      <c r="H20" s="25"/>
      <c r="I20" s="43">
        <f t="shared" si="3"/>
        <v>0</v>
      </c>
      <c r="J20" s="39"/>
    </row>
    <row r="21" spans="1:10" ht="18" x14ac:dyDescent="0.3">
      <c r="A21" s="30">
        <f t="shared" si="1"/>
        <v>0</v>
      </c>
      <c r="B21" s="46"/>
      <c r="C21" s="25" t="str">
        <f t="shared" si="2"/>
        <v/>
      </c>
      <c r="D21" s="25" t="str">
        <f t="shared" si="0"/>
        <v/>
      </c>
      <c r="E21" s="25"/>
      <c r="F21" s="25"/>
      <c r="G21" s="25"/>
      <c r="H21" s="25"/>
      <c r="I21" s="43">
        <f t="shared" si="3"/>
        <v>0</v>
      </c>
      <c r="J21" s="39"/>
    </row>
    <row r="22" spans="1:10" ht="20.25" customHeight="1" x14ac:dyDescent="0.3">
      <c r="A22" s="30">
        <f t="shared" si="1"/>
        <v>0</v>
      </c>
      <c r="B22" s="46"/>
      <c r="C22" s="25" t="str">
        <f t="shared" si="2"/>
        <v/>
      </c>
      <c r="D22" s="25" t="str">
        <f t="shared" si="0"/>
        <v/>
      </c>
      <c r="E22" s="25"/>
      <c r="F22" s="25"/>
      <c r="G22" s="25"/>
      <c r="H22" s="25"/>
      <c r="I22" s="43">
        <f t="shared" si="3"/>
        <v>0</v>
      </c>
      <c r="J22" s="39"/>
    </row>
    <row r="23" spans="1:10" ht="18" x14ac:dyDescent="0.3">
      <c r="A23" s="30">
        <f t="shared" si="1"/>
        <v>0</v>
      </c>
      <c r="B23" s="46"/>
      <c r="C23" s="25" t="str">
        <f t="shared" si="2"/>
        <v/>
      </c>
      <c r="D23" s="25" t="str">
        <f t="shared" si="0"/>
        <v/>
      </c>
      <c r="E23" s="25"/>
      <c r="F23" s="25"/>
      <c r="G23" s="25"/>
      <c r="H23" s="25"/>
      <c r="I23" s="43">
        <f t="shared" si="3"/>
        <v>0</v>
      </c>
      <c r="J23" s="39"/>
    </row>
    <row r="24" spans="1:10" ht="18" x14ac:dyDescent="0.3">
      <c r="A24" s="30">
        <f t="shared" si="1"/>
        <v>0</v>
      </c>
      <c r="B24" s="46"/>
      <c r="C24" s="25" t="str">
        <f t="shared" si="2"/>
        <v/>
      </c>
      <c r="D24" s="25" t="str">
        <f t="shared" si="0"/>
        <v/>
      </c>
      <c r="E24" s="25"/>
      <c r="F24" s="25"/>
      <c r="G24" s="25"/>
      <c r="H24" s="25"/>
      <c r="I24" s="43">
        <f t="shared" si="3"/>
        <v>0</v>
      </c>
      <c r="J24" s="39"/>
    </row>
    <row r="25" spans="1:10" ht="18" x14ac:dyDescent="0.3">
      <c r="A25" s="30">
        <f t="shared" si="1"/>
        <v>0</v>
      </c>
      <c r="B25" s="46"/>
      <c r="C25" s="25" t="str">
        <f t="shared" si="2"/>
        <v/>
      </c>
      <c r="D25" s="25" t="str">
        <f t="shared" si="0"/>
        <v/>
      </c>
      <c r="E25" s="25"/>
      <c r="F25" s="25"/>
      <c r="G25" s="25"/>
      <c r="H25" s="25"/>
      <c r="I25" s="43">
        <f t="shared" si="3"/>
        <v>0</v>
      </c>
      <c r="J25" s="39"/>
    </row>
    <row r="26" spans="1:10" ht="18" x14ac:dyDescent="0.3">
      <c r="A26" s="30">
        <f t="shared" si="1"/>
        <v>0</v>
      </c>
      <c r="B26" s="46"/>
      <c r="C26" s="25" t="str">
        <f t="shared" si="2"/>
        <v/>
      </c>
      <c r="D26" s="25" t="str">
        <f t="shared" si="0"/>
        <v/>
      </c>
      <c r="E26" s="25"/>
      <c r="F26" s="25"/>
      <c r="G26" s="25"/>
      <c r="H26" s="25"/>
      <c r="I26" s="43">
        <f t="shared" si="3"/>
        <v>0</v>
      </c>
      <c r="J26" s="39"/>
    </row>
    <row r="27" spans="1:10" ht="18" x14ac:dyDescent="0.3">
      <c r="A27" s="30">
        <f t="shared" si="1"/>
        <v>0</v>
      </c>
      <c r="B27" s="46"/>
      <c r="C27" s="25" t="str">
        <f t="shared" si="2"/>
        <v/>
      </c>
      <c r="D27" s="25" t="str">
        <f t="shared" si="0"/>
        <v/>
      </c>
      <c r="E27" s="25"/>
      <c r="F27" s="25"/>
      <c r="G27" s="25"/>
      <c r="H27" s="25"/>
      <c r="I27" s="43">
        <f t="shared" si="3"/>
        <v>0</v>
      </c>
      <c r="J27" s="39"/>
    </row>
    <row r="28" spans="1:10" ht="18" x14ac:dyDescent="0.3">
      <c r="A28" s="30">
        <f t="shared" si="1"/>
        <v>0</v>
      </c>
      <c r="B28" s="46"/>
      <c r="C28" s="25" t="str">
        <f t="shared" si="2"/>
        <v/>
      </c>
      <c r="D28" s="25" t="str">
        <f t="shared" si="0"/>
        <v/>
      </c>
      <c r="E28" s="25"/>
      <c r="F28" s="25"/>
      <c r="G28" s="25"/>
      <c r="H28" s="25"/>
      <c r="I28" s="43">
        <f t="shared" si="3"/>
        <v>0</v>
      </c>
      <c r="J28" s="39"/>
    </row>
    <row r="29" spans="1:10" ht="18" x14ac:dyDescent="0.3">
      <c r="A29" s="30">
        <f t="shared" si="1"/>
        <v>0</v>
      </c>
      <c r="B29" s="46"/>
      <c r="C29" s="25" t="str">
        <f t="shared" si="2"/>
        <v/>
      </c>
      <c r="D29" s="25" t="str">
        <f t="shared" si="0"/>
        <v/>
      </c>
      <c r="E29" s="25"/>
      <c r="F29" s="25"/>
      <c r="G29" s="25"/>
      <c r="H29" s="25"/>
      <c r="I29" s="43">
        <f t="shared" si="3"/>
        <v>0</v>
      </c>
      <c r="J29" s="39"/>
    </row>
    <row r="30" spans="1:10" ht="18" x14ac:dyDescent="0.3">
      <c r="A30" s="30">
        <f t="shared" si="1"/>
        <v>0</v>
      </c>
      <c r="B30" s="46"/>
      <c r="C30" s="25" t="str">
        <f t="shared" si="2"/>
        <v/>
      </c>
      <c r="D30" s="25" t="str">
        <f t="shared" si="0"/>
        <v/>
      </c>
      <c r="E30" s="25"/>
      <c r="F30" s="25"/>
      <c r="G30" s="25"/>
      <c r="H30" s="25"/>
      <c r="I30" s="43">
        <f t="shared" si="3"/>
        <v>0</v>
      </c>
      <c r="J30" s="39"/>
    </row>
    <row r="31" spans="1:10" ht="18" x14ac:dyDescent="0.3">
      <c r="A31" s="30">
        <f t="shared" si="1"/>
        <v>0</v>
      </c>
      <c r="B31" s="46"/>
      <c r="C31" s="25" t="str">
        <f t="shared" si="2"/>
        <v/>
      </c>
      <c r="D31" s="25" t="str">
        <f t="shared" si="0"/>
        <v/>
      </c>
      <c r="E31" s="25"/>
      <c r="F31" s="25"/>
      <c r="G31" s="25"/>
      <c r="H31" s="25"/>
      <c r="I31" s="43">
        <f t="shared" si="3"/>
        <v>0</v>
      </c>
      <c r="J31" s="39"/>
    </row>
    <row r="32" spans="1:10" ht="18" x14ac:dyDescent="0.3">
      <c r="A32" s="30">
        <f t="shared" si="1"/>
        <v>0</v>
      </c>
      <c r="B32" s="46"/>
      <c r="C32" s="25" t="str">
        <f t="shared" si="2"/>
        <v/>
      </c>
      <c r="D32" s="25" t="str">
        <f t="shared" si="0"/>
        <v/>
      </c>
      <c r="E32" s="25"/>
      <c r="F32" s="25"/>
      <c r="G32" s="25"/>
      <c r="H32" s="25"/>
      <c r="I32" s="43">
        <f t="shared" si="3"/>
        <v>0</v>
      </c>
      <c r="J32" s="39"/>
    </row>
    <row r="33" spans="1:10" ht="18" x14ac:dyDescent="0.3">
      <c r="A33" s="30">
        <f t="shared" si="1"/>
        <v>0</v>
      </c>
      <c r="B33" s="46"/>
      <c r="C33" s="25" t="str">
        <f t="shared" si="2"/>
        <v/>
      </c>
      <c r="D33" s="25" t="str">
        <f t="shared" si="0"/>
        <v/>
      </c>
      <c r="E33" s="25"/>
      <c r="F33" s="25"/>
      <c r="G33" s="25"/>
      <c r="H33" s="25"/>
      <c r="I33" s="43">
        <f t="shared" si="3"/>
        <v>0</v>
      </c>
      <c r="J33" s="39"/>
    </row>
    <row r="34" spans="1:10" ht="18" x14ac:dyDescent="0.3">
      <c r="A34" s="30">
        <f t="shared" si="1"/>
        <v>0</v>
      </c>
      <c r="B34" s="46"/>
      <c r="C34" s="25" t="str">
        <f t="shared" si="2"/>
        <v/>
      </c>
      <c r="D34" s="25" t="str">
        <f t="shared" si="0"/>
        <v/>
      </c>
      <c r="E34" s="25"/>
      <c r="F34" s="25"/>
      <c r="G34" s="25"/>
      <c r="H34" s="25"/>
      <c r="I34" s="43">
        <f t="shared" si="3"/>
        <v>0</v>
      </c>
      <c r="J34" s="39"/>
    </row>
    <row r="35" spans="1:10" ht="18" x14ac:dyDescent="0.3">
      <c r="A35" s="30">
        <f t="shared" si="1"/>
        <v>0</v>
      </c>
      <c r="B35" s="46"/>
      <c r="C35" s="25" t="str">
        <f t="shared" si="2"/>
        <v/>
      </c>
      <c r="D35" s="25" t="str">
        <f t="shared" si="0"/>
        <v/>
      </c>
      <c r="E35" s="25"/>
      <c r="F35" s="25"/>
      <c r="G35" s="25"/>
      <c r="H35" s="25"/>
      <c r="I35" s="43">
        <f t="shared" si="3"/>
        <v>0</v>
      </c>
      <c r="J35" s="39"/>
    </row>
    <row r="36" spans="1:10" ht="18" x14ac:dyDescent="0.3">
      <c r="A36" s="30">
        <f t="shared" si="1"/>
        <v>0</v>
      </c>
      <c r="B36" s="46"/>
      <c r="C36" s="25" t="str">
        <f t="shared" si="2"/>
        <v/>
      </c>
      <c r="D36" s="25" t="str">
        <f t="shared" si="0"/>
        <v/>
      </c>
      <c r="E36" s="25"/>
      <c r="F36" s="25"/>
      <c r="G36" s="25"/>
      <c r="H36" s="25"/>
      <c r="I36" s="43">
        <f t="shared" si="3"/>
        <v>0</v>
      </c>
      <c r="J36" s="39"/>
    </row>
    <row r="37" spans="1:10" ht="18" x14ac:dyDescent="0.3">
      <c r="A37" s="30">
        <f t="shared" si="1"/>
        <v>0</v>
      </c>
      <c r="B37" s="46"/>
      <c r="C37" s="25" t="str">
        <f t="shared" si="2"/>
        <v/>
      </c>
      <c r="D37" s="25" t="str">
        <f t="shared" si="0"/>
        <v/>
      </c>
      <c r="E37" s="25"/>
      <c r="F37" s="25"/>
      <c r="G37" s="25"/>
      <c r="H37" s="25"/>
      <c r="I37" s="43">
        <f t="shared" si="3"/>
        <v>0</v>
      </c>
      <c r="J37" s="39"/>
    </row>
    <row r="38" spans="1:10" ht="18" x14ac:dyDescent="0.3">
      <c r="A38" s="30">
        <f t="shared" si="1"/>
        <v>0</v>
      </c>
      <c r="B38" s="46"/>
      <c r="C38" s="25" t="str">
        <f t="shared" si="2"/>
        <v/>
      </c>
      <c r="D38" s="25" t="str">
        <f t="shared" si="0"/>
        <v/>
      </c>
      <c r="E38" s="25"/>
      <c r="F38" s="25"/>
      <c r="G38" s="25"/>
      <c r="H38" s="25"/>
      <c r="I38" s="43">
        <f t="shared" si="3"/>
        <v>0</v>
      </c>
      <c r="J38" s="39"/>
    </row>
    <row r="39" spans="1:10" ht="18" x14ac:dyDescent="0.3">
      <c r="A39" s="30">
        <f t="shared" si="1"/>
        <v>0</v>
      </c>
      <c r="B39" s="46"/>
      <c r="C39" s="25" t="str">
        <f t="shared" si="2"/>
        <v/>
      </c>
      <c r="D39" s="25" t="str">
        <f t="shared" si="0"/>
        <v/>
      </c>
      <c r="E39" s="25"/>
      <c r="F39" s="25"/>
      <c r="G39" s="25"/>
      <c r="H39" s="25"/>
      <c r="I39" s="43">
        <f t="shared" si="3"/>
        <v>0</v>
      </c>
      <c r="J39" s="39"/>
    </row>
    <row r="40" spans="1:10" ht="18" x14ac:dyDescent="0.3">
      <c r="A40" s="30">
        <f t="shared" si="1"/>
        <v>0</v>
      </c>
      <c r="B40" s="46"/>
      <c r="C40" s="25" t="str">
        <f t="shared" si="2"/>
        <v/>
      </c>
      <c r="D40" s="25" t="str">
        <f t="shared" si="0"/>
        <v/>
      </c>
      <c r="E40" s="25"/>
      <c r="F40" s="25"/>
      <c r="G40" s="25"/>
      <c r="H40" s="25"/>
      <c r="I40" s="43">
        <f t="shared" si="3"/>
        <v>0</v>
      </c>
      <c r="J40" s="39"/>
    </row>
    <row r="41" spans="1:10" ht="18" x14ac:dyDescent="0.3">
      <c r="A41" s="30">
        <f t="shared" si="1"/>
        <v>0</v>
      </c>
      <c r="B41" s="46"/>
      <c r="C41" s="25" t="str">
        <f t="shared" si="2"/>
        <v/>
      </c>
      <c r="D41" s="25" t="str">
        <f t="shared" si="0"/>
        <v/>
      </c>
      <c r="E41" s="25"/>
      <c r="F41" s="25"/>
      <c r="G41" s="25"/>
      <c r="H41" s="25"/>
      <c r="I41" s="43">
        <f t="shared" si="3"/>
        <v>0</v>
      </c>
      <c r="J41" s="39"/>
    </row>
    <row r="42" spans="1:10" ht="18" x14ac:dyDescent="0.3">
      <c r="A42" s="30">
        <f t="shared" si="1"/>
        <v>0</v>
      </c>
      <c r="B42" s="46"/>
      <c r="C42" s="25" t="str">
        <f t="shared" si="2"/>
        <v/>
      </c>
      <c r="D42" s="25" t="str">
        <f t="shared" si="0"/>
        <v/>
      </c>
      <c r="E42" s="25"/>
      <c r="F42" s="25"/>
      <c r="G42" s="25"/>
      <c r="H42" s="25"/>
      <c r="I42" s="43">
        <f t="shared" si="3"/>
        <v>0</v>
      </c>
      <c r="J42" s="39"/>
    </row>
    <row r="43" spans="1:10" ht="18" x14ac:dyDescent="0.3">
      <c r="A43" s="30">
        <f t="shared" si="1"/>
        <v>0</v>
      </c>
      <c r="B43" s="46"/>
      <c r="C43" s="25" t="str">
        <f t="shared" si="2"/>
        <v/>
      </c>
      <c r="D43" s="25" t="str">
        <f t="shared" si="0"/>
        <v/>
      </c>
      <c r="E43" s="25"/>
      <c r="F43" s="25"/>
      <c r="G43" s="25"/>
      <c r="H43" s="25"/>
      <c r="I43" s="43">
        <f t="shared" si="3"/>
        <v>0</v>
      </c>
      <c r="J43" s="39"/>
    </row>
    <row r="44" spans="1:10" ht="18" x14ac:dyDescent="0.3">
      <c r="A44" s="30">
        <f t="shared" si="1"/>
        <v>0</v>
      </c>
      <c r="B44" s="48"/>
      <c r="C44" s="25" t="str">
        <f t="shared" si="2"/>
        <v/>
      </c>
      <c r="D44" s="25" t="str">
        <f t="shared" si="0"/>
        <v/>
      </c>
      <c r="E44" s="25"/>
      <c r="F44" s="25"/>
      <c r="G44" s="25"/>
      <c r="H44" s="25"/>
      <c r="I44" s="43">
        <f t="shared" si="3"/>
        <v>0</v>
      </c>
      <c r="J44" s="39"/>
    </row>
    <row r="45" spans="1:10" ht="18" x14ac:dyDescent="0.3">
      <c r="A45" s="30">
        <f t="shared" si="1"/>
        <v>0</v>
      </c>
      <c r="B45" s="46"/>
      <c r="C45" s="25" t="str">
        <f t="shared" si="2"/>
        <v/>
      </c>
      <c r="D45" s="25" t="str">
        <f t="shared" si="0"/>
        <v/>
      </c>
      <c r="E45" s="25"/>
      <c r="F45" s="25"/>
      <c r="G45" s="25"/>
      <c r="H45" s="25"/>
      <c r="I45" s="43">
        <f t="shared" si="3"/>
        <v>0</v>
      </c>
      <c r="J45" s="39"/>
    </row>
    <row r="46" spans="1:10" ht="18" x14ac:dyDescent="0.3">
      <c r="A46" s="30">
        <f t="shared" si="1"/>
        <v>0</v>
      </c>
      <c r="B46" s="46"/>
      <c r="C46" s="25" t="str">
        <f t="shared" si="2"/>
        <v/>
      </c>
      <c r="D46" s="25" t="str">
        <f t="shared" si="0"/>
        <v/>
      </c>
      <c r="E46" s="25"/>
      <c r="F46" s="25"/>
      <c r="G46" s="25"/>
      <c r="H46" s="25"/>
      <c r="I46" s="43">
        <f t="shared" si="3"/>
        <v>0</v>
      </c>
      <c r="J46" s="39"/>
    </row>
    <row r="47" spans="1:10" ht="18" x14ac:dyDescent="0.3">
      <c r="A47" s="30">
        <f t="shared" si="1"/>
        <v>0</v>
      </c>
      <c r="B47" s="46"/>
      <c r="C47" s="25" t="str">
        <f t="shared" si="2"/>
        <v/>
      </c>
      <c r="D47" s="25" t="str">
        <f t="shared" si="0"/>
        <v/>
      </c>
      <c r="E47" s="25"/>
      <c r="F47" s="25"/>
      <c r="G47" s="25"/>
      <c r="H47" s="25"/>
      <c r="I47" s="43">
        <f t="shared" si="3"/>
        <v>0</v>
      </c>
      <c r="J47" s="39"/>
    </row>
    <row r="48" spans="1:10" ht="18" x14ac:dyDescent="0.3">
      <c r="A48" s="30">
        <f t="shared" si="1"/>
        <v>0</v>
      </c>
      <c r="B48" s="46"/>
      <c r="C48" s="25" t="str">
        <f t="shared" si="2"/>
        <v/>
      </c>
      <c r="D48" s="25" t="str">
        <f t="shared" si="0"/>
        <v/>
      </c>
      <c r="E48" s="25"/>
      <c r="F48" s="25"/>
      <c r="G48" s="25"/>
      <c r="H48" s="25"/>
      <c r="I48" s="43">
        <f t="shared" si="3"/>
        <v>0</v>
      </c>
      <c r="J48" s="39"/>
    </row>
    <row r="49" spans="1:10" ht="18" x14ac:dyDescent="0.3">
      <c r="A49" s="30">
        <f t="shared" si="1"/>
        <v>0</v>
      </c>
      <c r="B49" s="46"/>
      <c r="C49" s="25" t="str">
        <f t="shared" si="2"/>
        <v/>
      </c>
      <c r="D49" s="25" t="str">
        <f t="shared" si="0"/>
        <v/>
      </c>
      <c r="E49" s="25"/>
      <c r="F49" s="25"/>
      <c r="G49" s="25"/>
      <c r="H49" s="25"/>
      <c r="I49" s="43">
        <f t="shared" si="3"/>
        <v>0</v>
      </c>
      <c r="J49" s="39"/>
    </row>
    <row r="50" spans="1:10" ht="18" x14ac:dyDescent="0.3">
      <c r="A50" s="30">
        <f t="shared" si="1"/>
        <v>0</v>
      </c>
      <c r="B50" s="46"/>
      <c r="C50" s="25" t="str">
        <f t="shared" si="2"/>
        <v/>
      </c>
      <c r="D50" s="25" t="str">
        <f t="shared" si="0"/>
        <v/>
      </c>
      <c r="E50" s="25"/>
      <c r="F50" s="25"/>
      <c r="G50" s="25"/>
      <c r="H50" s="25"/>
      <c r="I50" s="43">
        <f t="shared" si="3"/>
        <v>0</v>
      </c>
      <c r="J50" s="39"/>
    </row>
    <row r="51" spans="1:10" ht="18" x14ac:dyDescent="0.3">
      <c r="A51" s="30">
        <f t="shared" si="1"/>
        <v>0</v>
      </c>
      <c r="B51" s="46"/>
      <c r="C51" s="25" t="str">
        <f t="shared" si="2"/>
        <v/>
      </c>
      <c r="D51" s="25" t="str">
        <f t="shared" si="0"/>
        <v/>
      </c>
      <c r="E51" s="25"/>
      <c r="F51" s="25"/>
      <c r="G51" s="25"/>
      <c r="H51" s="25"/>
      <c r="I51" s="43">
        <f t="shared" si="3"/>
        <v>0</v>
      </c>
      <c r="J51" s="39"/>
    </row>
    <row r="52" spans="1:10" ht="18" x14ac:dyDescent="0.3">
      <c r="A52" s="30">
        <f t="shared" si="1"/>
        <v>0</v>
      </c>
      <c r="B52" s="46"/>
      <c r="C52" s="25" t="str">
        <f t="shared" si="2"/>
        <v/>
      </c>
      <c r="D52" s="25" t="str">
        <f t="shared" si="0"/>
        <v/>
      </c>
      <c r="E52" s="25"/>
      <c r="F52" s="25"/>
      <c r="G52" s="25"/>
      <c r="H52" s="25"/>
      <c r="I52" s="43">
        <f t="shared" si="3"/>
        <v>0</v>
      </c>
      <c r="J52" s="39"/>
    </row>
    <row r="53" spans="1:10" ht="18" x14ac:dyDescent="0.3">
      <c r="A53" s="30">
        <f t="shared" si="1"/>
        <v>0</v>
      </c>
      <c r="B53" s="46"/>
      <c r="C53" s="25" t="str">
        <f t="shared" si="2"/>
        <v/>
      </c>
      <c r="D53" s="25" t="str">
        <f t="shared" si="0"/>
        <v/>
      </c>
      <c r="E53" s="25"/>
      <c r="F53" s="25"/>
      <c r="G53" s="25"/>
      <c r="H53" s="25"/>
      <c r="I53" s="43">
        <f t="shared" si="3"/>
        <v>0</v>
      </c>
      <c r="J53" s="39"/>
    </row>
    <row r="54" spans="1:10" ht="18" x14ac:dyDescent="0.3">
      <c r="A54" s="30">
        <f t="shared" si="1"/>
        <v>0</v>
      </c>
      <c r="B54" s="46"/>
      <c r="C54" s="25" t="str">
        <f t="shared" si="2"/>
        <v/>
      </c>
      <c r="D54" s="25" t="str">
        <f t="shared" si="0"/>
        <v/>
      </c>
      <c r="E54" s="25"/>
      <c r="F54" s="25"/>
      <c r="G54" s="25"/>
      <c r="H54" s="25"/>
      <c r="I54" s="43">
        <f t="shared" si="3"/>
        <v>0</v>
      </c>
      <c r="J54" s="39"/>
    </row>
    <row r="55" spans="1:10" ht="18" x14ac:dyDescent="0.3">
      <c r="A55" s="30">
        <f t="shared" si="1"/>
        <v>0</v>
      </c>
      <c r="B55" s="46"/>
      <c r="C55" s="25" t="str">
        <f t="shared" si="2"/>
        <v/>
      </c>
      <c r="D55" s="25" t="str">
        <f t="shared" si="0"/>
        <v/>
      </c>
      <c r="E55" s="25"/>
      <c r="F55" s="25"/>
      <c r="G55" s="25"/>
      <c r="H55" s="25"/>
      <c r="I55" s="43">
        <f t="shared" si="3"/>
        <v>0</v>
      </c>
      <c r="J55" s="39"/>
    </row>
    <row r="56" spans="1:10" ht="18" x14ac:dyDescent="0.3">
      <c r="A56" s="30">
        <f t="shared" si="1"/>
        <v>0</v>
      </c>
      <c r="B56" s="46"/>
      <c r="C56" s="25" t="str">
        <f t="shared" si="2"/>
        <v/>
      </c>
      <c r="D56" s="25" t="str">
        <f t="shared" si="0"/>
        <v/>
      </c>
      <c r="E56" s="25"/>
      <c r="F56" s="25"/>
      <c r="G56" s="25"/>
      <c r="H56" s="25"/>
      <c r="I56" s="43">
        <f t="shared" si="3"/>
        <v>0</v>
      </c>
      <c r="J56" s="39"/>
    </row>
    <row r="57" spans="1:10" ht="18" x14ac:dyDescent="0.3">
      <c r="A57" s="30">
        <f t="shared" si="1"/>
        <v>0</v>
      </c>
      <c r="B57" s="46"/>
      <c r="C57" s="25" t="str">
        <f t="shared" si="2"/>
        <v/>
      </c>
      <c r="D57" s="25" t="str">
        <f t="shared" si="0"/>
        <v/>
      </c>
      <c r="E57" s="25"/>
      <c r="F57" s="25"/>
      <c r="G57" s="25"/>
      <c r="H57" s="25"/>
      <c r="I57" s="43">
        <f t="shared" si="3"/>
        <v>0</v>
      </c>
      <c r="J57" s="39"/>
    </row>
    <row r="58" spans="1:10" ht="18" x14ac:dyDescent="0.3">
      <c r="A58" s="30">
        <f t="shared" si="1"/>
        <v>0</v>
      </c>
      <c r="B58" s="46"/>
      <c r="C58" s="25" t="str">
        <f t="shared" si="2"/>
        <v/>
      </c>
      <c r="D58" s="25" t="str">
        <f t="shared" si="0"/>
        <v/>
      </c>
      <c r="E58" s="25"/>
      <c r="F58" s="25"/>
      <c r="G58" s="25"/>
      <c r="H58" s="25"/>
      <c r="I58" s="43">
        <f t="shared" si="3"/>
        <v>0</v>
      </c>
      <c r="J58" s="39"/>
    </row>
    <row r="59" spans="1:10" ht="18" x14ac:dyDescent="0.3">
      <c r="A59" s="30">
        <f t="shared" si="1"/>
        <v>0</v>
      </c>
      <c r="B59" s="46"/>
      <c r="C59" s="25" t="str">
        <f t="shared" si="2"/>
        <v/>
      </c>
      <c r="D59" s="25" t="str">
        <f t="shared" si="0"/>
        <v/>
      </c>
      <c r="E59" s="25"/>
      <c r="F59" s="25"/>
      <c r="G59" s="25"/>
      <c r="H59" s="25"/>
      <c r="I59" s="43">
        <f t="shared" si="3"/>
        <v>0</v>
      </c>
      <c r="J59" s="39"/>
    </row>
    <row r="60" spans="1:10" ht="18" x14ac:dyDescent="0.3">
      <c r="A60" s="30">
        <f t="shared" si="1"/>
        <v>0</v>
      </c>
      <c r="B60" s="46"/>
      <c r="C60" s="25" t="str">
        <f t="shared" si="2"/>
        <v/>
      </c>
      <c r="D60" s="25" t="str">
        <f t="shared" si="0"/>
        <v/>
      </c>
      <c r="E60" s="25"/>
      <c r="F60" s="25"/>
      <c r="G60" s="25"/>
      <c r="H60" s="25"/>
      <c r="I60" s="43">
        <f t="shared" si="3"/>
        <v>0</v>
      </c>
      <c r="J60" s="39"/>
    </row>
    <row r="61" spans="1:10" ht="18" x14ac:dyDescent="0.3">
      <c r="A61" s="30">
        <f t="shared" si="1"/>
        <v>0</v>
      </c>
      <c r="B61" s="46"/>
      <c r="C61" s="25" t="str">
        <f t="shared" si="2"/>
        <v/>
      </c>
      <c r="D61" s="25" t="str">
        <f t="shared" si="0"/>
        <v/>
      </c>
      <c r="E61" s="25"/>
      <c r="F61" s="25"/>
      <c r="G61" s="25"/>
      <c r="H61" s="25"/>
      <c r="I61" s="43">
        <f t="shared" si="3"/>
        <v>0</v>
      </c>
      <c r="J61" s="39"/>
    </row>
    <row r="62" spans="1:10" ht="18" x14ac:dyDescent="0.3">
      <c r="A62" s="30">
        <f t="shared" si="1"/>
        <v>0</v>
      </c>
      <c r="B62" s="46"/>
      <c r="C62" s="25" t="str">
        <f t="shared" si="2"/>
        <v/>
      </c>
      <c r="D62" s="25" t="str">
        <f t="shared" si="0"/>
        <v/>
      </c>
      <c r="E62" s="25"/>
      <c r="F62" s="25"/>
      <c r="G62" s="25"/>
      <c r="H62" s="25"/>
      <c r="I62" s="43">
        <f t="shared" si="3"/>
        <v>0</v>
      </c>
      <c r="J62" s="39"/>
    </row>
    <row r="63" spans="1:10" ht="18" x14ac:dyDescent="0.3">
      <c r="A63" s="30">
        <f t="shared" si="1"/>
        <v>0</v>
      </c>
      <c r="B63" s="46"/>
      <c r="C63" s="25" t="str">
        <f t="shared" si="2"/>
        <v/>
      </c>
      <c r="D63" s="25" t="str">
        <f t="shared" si="0"/>
        <v/>
      </c>
      <c r="E63" s="25"/>
      <c r="F63" s="25"/>
      <c r="G63" s="25"/>
      <c r="H63" s="25"/>
      <c r="I63" s="43">
        <f t="shared" si="3"/>
        <v>0</v>
      </c>
      <c r="J63" s="39"/>
    </row>
    <row r="64" spans="1:10" ht="18" x14ac:dyDescent="0.3">
      <c r="A64" s="30">
        <f t="shared" si="1"/>
        <v>0</v>
      </c>
      <c r="B64" s="46"/>
      <c r="C64" s="25" t="str">
        <f t="shared" si="2"/>
        <v/>
      </c>
      <c r="D64" s="25" t="str">
        <f t="shared" si="0"/>
        <v/>
      </c>
      <c r="E64" s="25"/>
      <c r="F64" s="25"/>
      <c r="G64" s="25"/>
      <c r="H64" s="25"/>
      <c r="I64" s="43">
        <f t="shared" si="3"/>
        <v>0</v>
      </c>
      <c r="J64" s="39"/>
    </row>
    <row r="65" spans="1:10" ht="18" x14ac:dyDescent="0.3">
      <c r="A65" s="30">
        <f t="shared" si="1"/>
        <v>0</v>
      </c>
      <c r="B65" s="46"/>
      <c r="C65" s="25" t="str">
        <f t="shared" ref="C65:C66" si="4">IFERROR(VLOOKUP(B65,DanhSachSV,2,FALSE),"")</f>
        <v/>
      </c>
      <c r="D65" s="25" t="str">
        <f t="shared" ref="D65:D66" si="5">IFERROR(VLOOKUP(B65,DanhSachSV,3,FALSE),"")</f>
        <v/>
      </c>
      <c r="E65" s="25"/>
      <c r="F65" s="25"/>
      <c r="G65" s="25"/>
      <c r="H65" s="25"/>
      <c r="I65" s="43">
        <f t="shared" si="3"/>
        <v>0</v>
      </c>
      <c r="J65" s="39"/>
    </row>
    <row r="66" spans="1:10" ht="18" x14ac:dyDescent="0.3">
      <c r="A66" s="30">
        <f t="shared" si="1"/>
        <v>0</v>
      </c>
      <c r="B66" s="46"/>
      <c r="C66" s="25" t="str">
        <f t="shared" si="4"/>
        <v/>
      </c>
      <c r="D66" s="25" t="str">
        <f t="shared" si="5"/>
        <v/>
      </c>
      <c r="E66" s="25"/>
      <c r="F66" s="25"/>
      <c r="G66" s="25"/>
      <c r="H66" s="25"/>
      <c r="I66" s="43">
        <f t="shared" ref="I66:I129" si="6">IF(MOD(H66,1)&gt;=0.75,1,IF(MOD(H66,1)&gt;=0.25,0.5,0))+INT(H66)</f>
        <v>0</v>
      </c>
      <c r="J66" s="39"/>
    </row>
    <row r="67" spans="1:10" ht="18" x14ac:dyDescent="0.3">
      <c r="A67" s="30">
        <f t="shared" si="1"/>
        <v>0</v>
      </c>
      <c r="B67" s="46"/>
      <c r="C67" s="25" t="str">
        <f t="shared" ref="C67:C96" si="7">IFERROR(VLOOKUP(B67,DanhSachSV,2,FALSE),"")</f>
        <v/>
      </c>
      <c r="D67" s="25" t="str">
        <f t="shared" ref="D67:D96" si="8">IFERROR(VLOOKUP(B67,DanhSachSV,3,FALSE),"")</f>
        <v/>
      </c>
      <c r="E67" s="25"/>
      <c r="F67" s="25"/>
      <c r="G67" s="25"/>
      <c r="H67" s="25"/>
      <c r="I67" s="43">
        <f t="shared" si="6"/>
        <v>0</v>
      </c>
      <c r="J67" s="39"/>
    </row>
    <row r="68" spans="1:10" ht="18" x14ac:dyDescent="0.3">
      <c r="A68" s="30">
        <f t="shared" si="1"/>
        <v>0</v>
      </c>
      <c r="B68" s="46"/>
      <c r="C68" s="25" t="str">
        <f t="shared" si="7"/>
        <v/>
      </c>
      <c r="D68" s="25" t="str">
        <f t="shared" si="8"/>
        <v/>
      </c>
      <c r="E68" s="25"/>
      <c r="F68" s="25"/>
      <c r="G68" s="25"/>
      <c r="H68" s="25"/>
      <c r="I68" s="43">
        <f t="shared" si="6"/>
        <v>0</v>
      </c>
      <c r="J68" s="39"/>
    </row>
    <row r="69" spans="1:10" ht="18" x14ac:dyDescent="0.3">
      <c r="A69" s="30">
        <f t="shared" si="1"/>
        <v>0</v>
      </c>
      <c r="B69" s="46"/>
      <c r="C69" s="25" t="str">
        <f t="shared" si="7"/>
        <v/>
      </c>
      <c r="D69" s="25" t="str">
        <f t="shared" si="8"/>
        <v/>
      </c>
      <c r="E69" s="25"/>
      <c r="F69" s="25"/>
      <c r="G69" s="25"/>
      <c r="H69" s="25"/>
      <c r="I69" s="43">
        <f t="shared" si="6"/>
        <v>0</v>
      </c>
      <c r="J69" s="39"/>
    </row>
    <row r="70" spans="1:10" ht="18" x14ac:dyDescent="0.3">
      <c r="A70" s="30">
        <f t="shared" si="1"/>
        <v>0</v>
      </c>
      <c r="B70" s="46"/>
      <c r="C70" s="25" t="str">
        <f t="shared" si="7"/>
        <v/>
      </c>
      <c r="D70" s="25" t="str">
        <f t="shared" si="8"/>
        <v/>
      </c>
      <c r="E70" s="25"/>
      <c r="F70" s="25"/>
      <c r="G70" s="25"/>
      <c r="H70" s="25"/>
      <c r="I70" s="43">
        <f t="shared" si="6"/>
        <v>0</v>
      </c>
      <c r="J70" s="39"/>
    </row>
    <row r="71" spans="1:10" ht="18" x14ac:dyDescent="0.3">
      <c r="A71" s="30">
        <f t="shared" si="1"/>
        <v>0</v>
      </c>
      <c r="B71" s="46"/>
      <c r="C71" s="25" t="str">
        <f t="shared" si="7"/>
        <v/>
      </c>
      <c r="D71" s="25" t="str">
        <f t="shared" si="8"/>
        <v/>
      </c>
      <c r="E71" s="25"/>
      <c r="F71" s="25"/>
      <c r="G71" s="25"/>
      <c r="H71" s="25"/>
      <c r="I71" s="43">
        <f t="shared" si="6"/>
        <v>0</v>
      </c>
      <c r="J71" s="39"/>
    </row>
    <row r="72" spans="1:10" ht="18" x14ac:dyDescent="0.3">
      <c r="A72" s="30">
        <f t="shared" ref="A72:A96" si="9">IF(B72="",0,A71+1)</f>
        <v>0</v>
      </c>
      <c r="B72" s="46"/>
      <c r="C72" s="25" t="str">
        <f t="shared" si="7"/>
        <v/>
      </c>
      <c r="D72" s="25" t="str">
        <f t="shared" si="8"/>
        <v/>
      </c>
      <c r="E72" s="25"/>
      <c r="F72" s="25"/>
      <c r="G72" s="25"/>
      <c r="H72" s="25"/>
      <c r="I72" s="43">
        <f t="shared" si="6"/>
        <v>0</v>
      </c>
      <c r="J72" s="39"/>
    </row>
    <row r="73" spans="1:10" ht="18" x14ac:dyDescent="0.3">
      <c r="A73" s="30">
        <f t="shared" si="9"/>
        <v>0</v>
      </c>
      <c r="B73" s="46"/>
      <c r="C73" s="25" t="str">
        <f t="shared" si="7"/>
        <v/>
      </c>
      <c r="D73" s="25" t="str">
        <f t="shared" si="8"/>
        <v/>
      </c>
      <c r="E73" s="25"/>
      <c r="F73" s="25"/>
      <c r="G73" s="25"/>
      <c r="H73" s="25"/>
      <c r="I73" s="43">
        <f t="shared" si="6"/>
        <v>0</v>
      </c>
      <c r="J73" s="39"/>
    </row>
    <row r="74" spans="1:10" ht="18" x14ac:dyDescent="0.3">
      <c r="A74" s="30">
        <f t="shared" si="9"/>
        <v>0</v>
      </c>
      <c r="B74" s="46"/>
      <c r="C74" s="25" t="str">
        <f t="shared" si="7"/>
        <v/>
      </c>
      <c r="D74" s="25" t="str">
        <f t="shared" si="8"/>
        <v/>
      </c>
      <c r="E74" s="25"/>
      <c r="F74" s="25"/>
      <c r="G74" s="25"/>
      <c r="H74" s="25"/>
      <c r="I74" s="43">
        <f t="shared" si="6"/>
        <v>0</v>
      </c>
      <c r="J74" s="39"/>
    </row>
    <row r="75" spans="1:10" ht="18" x14ac:dyDescent="0.3">
      <c r="A75" s="30">
        <f t="shared" si="9"/>
        <v>0</v>
      </c>
      <c r="B75" s="46"/>
      <c r="C75" s="25" t="str">
        <f t="shared" si="7"/>
        <v/>
      </c>
      <c r="D75" s="25" t="str">
        <f t="shared" si="8"/>
        <v/>
      </c>
      <c r="E75" s="25"/>
      <c r="F75" s="25"/>
      <c r="G75" s="25"/>
      <c r="H75" s="25"/>
      <c r="I75" s="43">
        <f t="shared" si="6"/>
        <v>0</v>
      </c>
      <c r="J75" s="39"/>
    </row>
    <row r="76" spans="1:10" ht="18" x14ac:dyDescent="0.3">
      <c r="A76" s="30">
        <f t="shared" si="9"/>
        <v>0</v>
      </c>
      <c r="B76" s="46"/>
      <c r="C76" s="25" t="str">
        <f t="shared" si="7"/>
        <v/>
      </c>
      <c r="D76" s="25" t="str">
        <f t="shared" si="8"/>
        <v/>
      </c>
      <c r="E76" s="25"/>
      <c r="F76" s="25"/>
      <c r="G76" s="25"/>
      <c r="H76" s="25"/>
      <c r="I76" s="43">
        <f t="shared" si="6"/>
        <v>0</v>
      </c>
      <c r="J76" s="39"/>
    </row>
    <row r="77" spans="1:10" ht="18" x14ac:dyDescent="0.3">
      <c r="A77" s="30">
        <f t="shared" si="9"/>
        <v>0</v>
      </c>
      <c r="B77" s="46"/>
      <c r="C77" s="25" t="str">
        <f t="shared" si="7"/>
        <v/>
      </c>
      <c r="D77" s="25" t="str">
        <f t="shared" si="8"/>
        <v/>
      </c>
      <c r="E77" s="25"/>
      <c r="F77" s="25"/>
      <c r="G77" s="25"/>
      <c r="H77" s="25"/>
      <c r="I77" s="43">
        <f t="shared" si="6"/>
        <v>0</v>
      </c>
      <c r="J77" s="39"/>
    </row>
    <row r="78" spans="1:10" ht="18" x14ac:dyDescent="0.3">
      <c r="A78" s="30">
        <f t="shared" si="9"/>
        <v>0</v>
      </c>
      <c r="B78" s="46"/>
      <c r="C78" s="25" t="str">
        <f t="shared" si="7"/>
        <v/>
      </c>
      <c r="D78" s="25" t="str">
        <f t="shared" si="8"/>
        <v/>
      </c>
      <c r="E78" s="25"/>
      <c r="F78" s="25"/>
      <c r="G78" s="25"/>
      <c r="H78" s="25"/>
      <c r="I78" s="43">
        <f t="shared" si="6"/>
        <v>0</v>
      </c>
      <c r="J78" s="39"/>
    </row>
    <row r="79" spans="1:10" ht="18" x14ac:dyDescent="0.3">
      <c r="A79" s="30">
        <f t="shared" si="9"/>
        <v>0</v>
      </c>
      <c r="B79" s="46"/>
      <c r="C79" s="25" t="str">
        <f t="shared" si="7"/>
        <v/>
      </c>
      <c r="D79" s="25" t="str">
        <f t="shared" si="8"/>
        <v/>
      </c>
      <c r="E79" s="25"/>
      <c r="F79" s="25"/>
      <c r="G79" s="25"/>
      <c r="H79" s="25"/>
      <c r="I79" s="43">
        <f t="shared" si="6"/>
        <v>0</v>
      </c>
      <c r="J79" s="39"/>
    </row>
    <row r="80" spans="1:10" ht="18" x14ac:dyDescent="0.3">
      <c r="A80" s="30">
        <f t="shared" si="9"/>
        <v>0</v>
      </c>
      <c r="B80" s="46"/>
      <c r="C80" s="25" t="str">
        <f t="shared" si="7"/>
        <v/>
      </c>
      <c r="D80" s="25" t="str">
        <f t="shared" si="8"/>
        <v/>
      </c>
      <c r="E80" s="25"/>
      <c r="F80" s="25"/>
      <c r="G80" s="25"/>
      <c r="H80" s="25"/>
      <c r="I80" s="43">
        <f t="shared" si="6"/>
        <v>0</v>
      </c>
      <c r="J80" s="39"/>
    </row>
    <row r="81" spans="1:10" ht="18" x14ac:dyDescent="0.3">
      <c r="A81" s="30">
        <f t="shared" si="9"/>
        <v>0</v>
      </c>
      <c r="B81" s="46"/>
      <c r="C81" s="25" t="str">
        <f t="shared" si="7"/>
        <v/>
      </c>
      <c r="D81" s="25" t="str">
        <f t="shared" si="8"/>
        <v/>
      </c>
      <c r="E81" s="25"/>
      <c r="F81" s="25"/>
      <c r="G81" s="25"/>
      <c r="H81" s="25"/>
      <c r="I81" s="43">
        <f t="shared" si="6"/>
        <v>0</v>
      </c>
      <c r="J81" s="39"/>
    </row>
    <row r="82" spans="1:10" ht="18" x14ac:dyDescent="0.3">
      <c r="A82" s="30">
        <f t="shared" si="9"/>
        <v>0</v>
      </c>
      <c r="B82" s="46"/>
      <c r="C82" s="25" t="str">
        <f t="shared" si="7"/>
        <v/>
      </c>
      <c r="D82" s="25" t="str">
        <f t="shared" si="8"/>
        <v/>
      </c>
      <c r="E82" s="25"/>
      <c r="F82" s="25"/>
      <c r="G82" s="25"/>
      <c r="H82" s="25"/>
      <c r="I82" s="43">
        <f t="shared" si="6"/>
        <v>0</v>
      </c>
      <c r="J82" s="39"/>
    </row>
    <row r="83" spans="1:10" ht="18" x14ac:dyDescent="0.3">
      <c r="A83" s="30">
        <f t="shared" si="9"/>
        <v>0</v>
      </c>
      <c r="B83" s="46"/>
      <c r="C83" s="25" t="str">
        <f t="shared" si="7"/>
        <v/>
      </c>
      <c r="D83" s="25" t="str">
        <f t="shared" si="8"/>
        <v/>
      </c>
      <c r="E83" s="25"/>
      <c r="F83" s="25"/>
      <c r="G83" s="25"/>
      <c r="H83" s="25"/>
      <c r="I83" s="43">
        <f t="shared" si="6"/>
        <v>0</v>
      </c>
      <c r="J83" s="39"/>
    </row>
    <row r="84" spans="1:10" ht="18" x14ac:dyDescent="0.3">
      <c r="A84" s="30">
        <f t="shared" si="9"/>
        <v>0</v>
      </c>
      <c r="B84" s="46"/>
      <c r="C84" s="25" t="str">
        <f t="shared" si="7"/>
        <v/>
      </c>
      <c r="D84" s="25" t="str">
        <f t="shared" si="8"/>
        <v/>
      </c>
      <c r="E84" s="25"/>
      <c r="F84" s="25"/>
      <c r="G84" s="25"/>
      <c r="H84" s="25"/>
      <c r="I84" s="43">
        <f t="shared" si="6"/>
        <v>0</v>
      </c>
      <c r="J84" s="39"/>
    </row>
    <row r="85" spans="1:10" ht="18" x14ac:dyDescent="0.3">
      <c r="A85" s="30">
        <f t="shared" si="9"/>
        <v>0</v>
      </c>
      <c r="B85" s="46"/>
      <c r="C85" s="25" t="str">
        <f t="shared" si="7"/>
        <v/>
      </c>
      <c r="D85" s="25" t="str">
        <f t="shared" si="8"/>
        <v/>
      </c>
      <c r="E85" s="25"/>
      <c r="F85" s="25"/>
      <c r="G85" s="25"/>
      <c r="H85" s="25"/>
      <c r="I85" s="43">
        <f t="shared" si="6"/>
        <v>0</v>
      </c>
      <c r="J85" s="39"/>
    </row>
    <row r="86" spans="1:10" ht="18" x14ac:dyDescent="0.3">
      <c r="A86" s="30">
        <f t="shared" si="9"/>
        <v>0</v>
      </c>
      <c r="B86" s="46"/>
      <c r="C86" s="25" t="str">
        <f t="shared" si="7"/>
        <v/>
      </c>
      <c r="D86" s="25" t="str">
        <f t="shared" si="8"/>
        <v/>
      </c>
      <c r="E86" s="25"/>
      <c r="F86" s="25"/>
      <c r="G86" s="25"/>
      <c r="H86" s="25"/>
      <c r="I86" s="43">
        <f t="shared" si="6"/>
        <v>0</v>
      </c>
      <c r="J86" s="39"/>
    </row>
    <row r="87" spans="1:10" ht="18" x14ac:dyDescent="0.3">
      <c r="A87" s="30">
        <f t="shared" si="9"/>
        <v>0</v>
      </c>
      <c r="B87" s="46"/>
      <c r="C87" s="25" t="str">
        <f t="shared" si="7"/>
        <v/>
      </c>
      <c r="D87" s="25" t="str">
        <f t="shared" si="8"/>
        <v/>
      </c>
      <c r="E87" s="25"/>
      <c r="F87" s="25"/>
      <c r="G87" s="25"/>
      <c r="H87" s="25"/>
      <c r="I87" s="43">
        <f t="shared" si="6"/>
        <v>0</v>
      </c>
      <c r="J87" s="39"/>
    </row>
    <row r="88" spans="1:10" ht="18" x14ac:dyDescent="0.3">
      <c r="A88" s="30">
        <f t="shared" si="9"/>
        <v>0</v>
      </c>
      <c r="B88" s="46"/>
      <c r="C88" s="25" t="str">
        <f t="shared" si="7"/>
        <v/>
      </c>
      <c r="D88" s="25" t="str">
        <f t="shared" si="8"/>
        <v/>
      </c>
      <c r="E88" s="25"/>
      <c r="F88" s="25"/>
      <c r="G88" s="25"/>
      <c r="H88" s="25"/>
      <c r="I88" s="43">
        <f t="shared" si="6"/>
        <v>0</v>
      </c>
      <c r="J88" s="39"/>
    </row>
    <row r="89" spans="1:10" ht="18" x14ac:dyDescent="0.3">
      <c r="A89" s="30">
        <f t="shared" si="9"/>
        <v>0</v>
      </c>
      <c r="B89" s="46"/>
      <c r="C89" s="25" t="str">
        <f t="shared" si="7"/>
        <v/>
      </c>
      <c r="D89" s="25" t="str">
        <f t="shared" si="8"/>
        <v/>
      </c>
      <c r="E89" s="25"/>
      <c r="F89" s="25"/>
      <c r="G89" s="25"/>
      <c r="H89" s="25"/>
      <c r="I89" s="43">
        <f t="shared" si="6"/>
        <v>0</v>
      </c>
      <c r="J89" s="39"/>
    </row>
    <row r="90" spans="1:10" ht="18" x14ac:dyDescent="0.3">
      <c r="A90" s="30">
        <f t="shared" si="9"/>
        <v>0</v>
      </c>
      <c r="B90" s="46"/>
      <c r="C90" s="25" t="str">
        <f t="shared" si="7"/>
        <v/>
      </c>
      <c r="D90" s="25" t="str">
        <f t="shared" si="8"/>
        <v/>
      </c>
      <c r="E90" s="25"/>
      <c r="F90" s="25"/>
      <c r="G90" s="25"/>
      <c r="H90" s="25"/>
      <c r="I90" s="43">
        <f t="shared" si="6"/>
        <v>0</v>
      </c>
      <c r="J90" s="39"/>
    </row>
    <row r="91" spans="1:10" ht="18" x14ac:dyDescent="0.3">
      <c r="A91" s="30">
        <f t="shared" si="9"/>
        <v>0</v>
      </c>
      <c r="B91" s="46"/>
      <c r="C91" s="25" t="str">
        <f t="shared" si="7"/>
        <v/>
      </c>
      <c r="D91" s="25" t="str">
        <f t="shared" si="8"/>
        <v/>
      </c>
      <c r="E91" s="25"/>
      <c r="F91" s="25"/>
      <c r="G91" s="25"/>
      <c r="H91" s="25"/>
      <c r="I91" s="43">
        <f t="shared" si="6"/>
        <v>0</v>
      </c>
      <c r="J91" s="39"/>
    </row>
    <row r="92" spans="1:10" ht="18" x14ac:dyDescent="0.3">
      <c r="A92" s="30">
        <f t="shared" si="9"/>
        <v>0</v>
      </c>
      <c r="B92" s="46"/>
      <c r="C92" s="25" t="str">
        <f t="shared" si="7"/>
        <v/>
      </c>
      <c r="D92" s="25" t="str">
        <f t="shared" si="8"/>
        <v/>
      </c>
      <c r="E92" s="25"/>
      <c r="F92" s="25"/>
      <c r="G92" s="25"/>
      <c r="H92" s="25"/>
      <c r="I92" s="43">
        <f t="shared" si="6"/>
        <v>0</v>
      </c>
      <c r="J92" s="39"/>
    </row>
    <row r="93" spans="1:10" ht="18" x14ac:dyDescent="0.3">
      <c r="A93" s="30">
        <f t="shared" si="9"/>
        <v>0</v>
      </c>
      <c r="B93" s="46"/>
      <c r="C93" s="25" t="str">
        <f t="shared" si="7"/>
        <v/>
      </c>
      <c r="D93" s="25" t="str">
        <f t="shared" si="8"/>
        <v/>
      </c>
      <c r="E93" s="25"/>
      <c r="F93" s="25"/>
      <c r="G93" s="25"/>
      <c r="H93" s="25"/>
      <c r="I93" s="43">
        <f t="shared" si="6"/>
        <v>0</v>
      </c>
      <c r="J93" s="39"/>
    </row>
    <row r="94" spans="1:10" ht="18" x14ac:dyDescent="0.3">
      <c r="A94" s="30">
        <f t="shared" si="9"/>
        <v>0</v>
      </c>
      <c r="B94" s="46"/>
      <c r="C94" s="25" t="str">
        <f t="shared" si="7"/>
        <v/>
      </c>
      <c r="D94" s="25" t="str">
        <f t="shared" si="8"/>
        <v/>
      </c>
      <c r="E94" s="25"/>
      <c r="F94" s="25"/>
      <c r="G94" s="25"/>
      <c r="H94" s="25"/>
      <c r="I94" s="43">
        <f t="shared" si="6"/>
        <v>0</v>
      </c>
      <c r="J94" s="39"/>
    </row>
    <row r="95" spans="1:10" ht="18" x14ac:dyDescent="0.3">
      <c r="A95" s="30">
        <f t="shared" si="9"/>
        <v>0</v>
      </c>
      <c r="B95" s="46"/>
      <c r="C95" s="25" t="str">
        <f t="shared" si="7"/>
        <v/>
      </c>
      <c r="D95" s="25" t="str">
        <f t="shared" si="8"/>
        <v/>
      </c>
      <c r="E95" s="25"/>
      <c r="F95" s="25"/>
      <c r="G95" s="25"/>
      <c r="H95" s="25"/>
      <c r="I95" s="43">
        <f t="shared" si="6"/>
        <v>0</v>
      </c>
      <c r="J95" s="39"/>
    </row>
    <row r="96" spans="1:10" ht="18" x14ac:dyDescent="0.3">
      <c r="A96" s="30">
        <f t="shared" si="9"/>
        <v>0</v>
      </c>
      <c r="B96" s="46"/>
      <c r="C96" s="25" t="str">
        <f t="shared" si="7"/>
        <v/>
      </c>
      <c r="D96" s="25" t="str">
        <f t="shared" si="8"/>
        <v/>
      </c>
      <c r="E96" s="25"/>
      <c r="F96" s="25"/>
      <c r="G96" s="25"/>
      <c r="H96" s="25"/>
      <c r="I96" s="43">
        <f t="shared" si="6"/>
        <v>0</v>
      </c>
      <c r="J96" s="39"/>
    </row>
    <row r="97" spans="2:9" ht="18" x14ac:dyDescent="0.3">
      <c r="B97" s="50"/>
      <c r="C97" s="25" t="str">
        <f t="shared" ref="C97:C160" si="10">IFERROR(VLOOKUP(B97,DanhSachSV,2,FALSE),"")</f>
        <v/>
      </c>
      <c r="D97" s="25" t="str">
        <f t="shared" ref="D97:D160" si="11">IFERROR(VLOOKUP(B97,DanhSachSV,3,FALSE),"")</f>
        <v/>
      </c>
      <c r="E97" s="24"/>
      <c r="F97" s="24"/>
      <c r="G97" s="24"/>
      <c r="I97" s="43">
        <f t="shared" si="6"/>
        <v>0</v>
      </c>
    </row>
    <row r="98" spans="2:9" ht="18" x14ac:dyDescent="0.3">
      <c r="B98" s="50"/>
      <c r="C98" s="25" t="str">
        <f t="shared" si="10"/>
        <v/>
      </c>
      <c r="D98" s="25" t="str">
        <f t="shared" si="11"/>
        <v/>
      </c>
      <c r="E98" s="24"/>
      <c r="F98" s="24"/>
      <c r="G98" s="24"/>
      <c r="I98" s="43">
        <f t="shared" si="6"/>
        <v>0</v>
      </c>
    </row>
    <row r="99" spans="2:9" ht="18" x14ac:dyDescent="0.3">
      <c r="B99" s="50"/>
      <c r="C99" s="25" t="str">
        <f t="shared" si="10"/>
        <v/>
      </c>
      <c r="D99" s="25" t="str">
        <f t="shared" si="11"/>
        <v/>
      </c>
      <c r="E99" s="24"/>
      <c r="F99" s="24"/>
      <c r="G99" s="24"/>
      <c r="I99" s="43">
        <f t="shared" si="6"/>
        <v>0</v>
      </c>
    </row>
    <row r="100" spans="2:9" ht="18" x14ac:dyDescent="0.3">
      <c r="B100" s="50"/>
      <c r="C100" s="25" t="str">
        <f t="shared" si="10"/>
        <v/>
      </c>
      <c r="D100" s="25" t="str">
        <f t="shared" si="11"/>
        <v/>
      </c>
      <c r="E100" s="24"/>
      <c r="F100" s="24"/>
      <c r="G100" s="24"/>
      <c r="I100" s="43">
        <f t="shared" si="6"/>
        <v>0</v>
      </c>
    </row>
    <row r="101" spans="2:9" ht="18" x14ac:dyDescent="0.3">
      <c r="B101" s="50"/>
      <c r="C101" s="25" t="str">
        <f t="shared" si="10"/>
        <v/>
      </c>
      <c r="D101" s="25" t="str">
        <f t="shared" si="11"/>
        <v/>
      </c>
      <c r="E101" s="24"/>
      <c r="F101" s="24"/>
      <c r="G101" s="24"/>
      <c r="I101" s="43">
        <f t="shared" si="6"/>
        <v>0</v>
      </c>
    </row>
    <row r="102" spans="2:9" ht="18" x14ac:dyDescent="0.3">
      <c r="B102" s="50"/>
      <c r="C102" s="25" t="str">
        <f t="shared" si="10"/>
        <v/>
      </c>
      <c r="D102" s="25" t="str">
        <f t="shared" si="11"/>
        <v/>
      </c>
      <c r="E102" s="24"/>
      <c r="F102" s="24"/>
      <c r="G102" s="24"/>
      <c r="I102" s="43">
        <f t="shared" si="6"/>
        <v>0</v>
      </c>
    </row>
    <row r="103" spans="2:9" ht="18" x14ac:dyDescent="0.3">
      <c r="B103" s="50"/>
      <c r="C103" s="25" t="str">
        <f t="shared" si="10"/>
        <v/>
      </c>
      <c r="D103" s="25" t="str">
        <f t="shared" si="11"/>
        <v/>
      </c>
      <c r="E103" s="24"/>
      <c r="F103" s="24"/>
      <c r="G103" s="24"/>
      <c r="I103" s="43">
        <f t="shared" si="6"/>
        <v>0</v>
      </c>
    </row>
    <row r="104" spans="2:9" ht="18" x14ac:dyDescent="0.3">
      <c r="B104" s="50"/>
      <c r="C104" s="25" t="str">
        <f t="shared" si="10"/>
        <v/>
      </c>
      <c r="D104" s="25" t="str">
        <f t="shared" si="11"/>
        <v/>
      </c>
      <c r="E104" s="24"/>
      <c r="F104" s="24"/>
      <c r="G104" s="24"/>
      <c r="I104" s="43">
        <f t="shared" si="6"/>
        <v>0</v>
      </c>
    </row>
    <row r="105" spans="2:9" ht="18" x14ac:dyDescent="0.3">
      <c r="B105" s="50"/>
      <c r="C105" s="25" t="str">
        <f t="shared" si="10"/>
        <v/>
      </c>
      <c r="D105" s="25" t="str">
        <f t="shared" si="11"/>
        <v/>
      </c>
      <c r="E105" s="24"/>
      <c r="F105" s="24"/>
      <c r="G105" s="24"/>
      <c r="I105" s="43">
        <f t="shared" si="6"/>
        <v>0</v>
      </c>
    </row>
    <row r="106" spans="2:9" ht="18" x14ac:dyDescent="0.3">
      <c r="B106" s="50"/>
      <c r="C106" s="25" t="str">
        <f t="shared" si="10"/>
        <v/>
      </c>
      <c r="D106" s="25" t="str">
        <f t="shared" si="11"/>
        <v/>
      </c>
      <c r="E106" s="24"/>
      <c r="F106" s="24"/>
      <c r="G106" s="24"/>
      <c r="I106" s="43">
        <f t="shared" si="6"/>
        <v>0</v>
      </c>
    </row>
    <row r="107" spans="2:9" ht="18" x14ac:dyDescent="0.3">
      <c r="B107" s="50"/>
      <c r="C107" s="25" t="str">
        <f t="shared" si="10"/>
        <v/>
      </c>
      <c r="D107" s="25" t="str">
        <f t="shared" si="11"/>
        <v/>
      </c>
      <c r="E107" s="24"/>
      <c r="F107" s="24"/>
      <c r="G107" s="24"/>
      <c r="I107" s="43">
        <f t="shared" si="6"/>
        <v>0</v>
      </c>
    </row>
    <row r="108" spans="2:9" ht="18" x14ac:dyDescent="0.3">
      <c r="B108" s="50"/>
      <c r="C108" s="25" t="str">
        <f t="shared" si="10"/>
        <v/>
      </c>
      <c r="D108" s="25" t="str">
        <f t="shared" si="11"/>
        <v/>
      </c>
      <c r="E108" s="24"/>
      <c r="F108" s="24"/>
      <c r="G108" s="24"/>
      <c r="I108" s="43">
        <f t="shared" si="6"/>
        <v>0</v>
      </c>
    </row>
    <row r="109" spans="2:9" ht="18" x14ac:dyDescent="0.3">
      <c r="B109" s="50"/>
      <c r="C109" s="25" t="str">
        <f t="shared" si="10"/>
        <v/>
      </c>
      <c r="D109" s="25" t="str">
        <f t="shared" si="11"/>
        <v/>
      </c>
      <c r="E109" s="24"/>
      <c r="F109" s="24"/>
      <c r="G109" s="24"/>
      <c r="I109" s="43">
        <f t="shared" si="6"/>
        <v>0</v>
      </c>
    </row>
    <row r="110" spans="2:9" ht="18" x14ac:dyDescent="0.3">
      <c r="B110" s="50"/>
      <c r="C110" s="25" t="str">
        <f t="shared" si="10"/>
        <v/>
      </c>
      <c r="D110" s="25" t="str">
        <f t="shared" si="11"/>
        <v/>
      </c>
      <c r="E110" s="24"/>
      <c r="F110" s="24"/>
      <c r="G110" s="24"/>
      <c r="I110" s="43">
        <f t="shared" si="6"/>
        <v>0</v>
      </c>
    </row>
    <row r="111" spans="2:9" ht="18" x14ac:dyDescent="0.3">
      <c r="B111" s="50"/>
      <c r="C111" s="25" t="str">
        <f t="shared" si="10"/>
        <v/>
      </c>
      <c r="D111" s="25" t="str">
        <f t="shared" si="11"/>
        <v/>
      </c>
      <c r="E111" s="24"/>
      <c r="F111" s="24"/>
      <c r="G111" s="24"/>
      <c r="I111" s="43">
        <f t="shared" si="6"/>
        <v>0</v>
      </c>
    </row>
    <row r="112" spans="2:9" ht="18" x14ac:dyDescent="0.3">
      <c r="B112" s="50"/>
      <c r="C112" s="25" t="str">
        <f t="shared" si="10"/>
        <v/>
      </c>
      <c r="D112" s="25" t="str">
        <f t="shared" si="11"/>
        <v/>
      </c>
      <c r="E112" s="24"/>
      <c r="F112" s="24"/>
      <c r="G112" s="24"/>
      <c r="I112" s="43">
        <f t="shared" si="6"/>
        <v>0</v>
      </c>
    </row>
    <row r="113" spans="2:9" ht="18" x14ac:dyDescent="0.3">
      <c r="B113" s="50"/>
      <c r="C113" s="25" t="str">
        <f t="shared" si="10"/>
        <v/>
      </c>
      <c r="D113" s="25" t="str">
        <f t="shared" si="11"/>
        <v/>
      </c>
      <c r="E113" s="24"/>
      <c r="F113" s="24"/>
      <c r="G113" s="24"/>
      <c r="I113" s="43">
        <f t="shared" si="6"/>
        <v>0</v>
      </c>
    </row>
    <row r="114" spans="2:9" ht="18" x14ac:dyDescent="0.3">
      <c r="B114" s="50"/>
      <c r="C114" s="25" t="str">
        <f t="shared" si="10"/>
        <v/>
      </c>
      <c r="D114" s="25" t="str">
        <f t="shared" si="11"/>
        <v/>
      </c>
      <c r="E114" s="24"/>
      <c r="F114" s="24"/>
      <c r="G114" s="24"/>
      <c r="I114" s="43">
        <f t="shared" si="6"/>
        <v>0</v>
      </c>
    </row>
    <row r="115" spans="2:9" ht="18" x14ac:dyDescent="0.3">
      <c r="B115" s="50"/>
      <c r="C115" s="25" t="str">
        <f t="shared" si="10"/>
        <v/>
      </c>
      <c r="D115" s="25" t="str">
        <f t="shared" si="11"/>
        <v/>
      </c>
      <c r="E115" s="24"/>
      <c r="F115" s="24"/>
      <c r="G115" s="24"/>
      <c r="I115" s="43">
        <f t="shared" si="6"/>
        <v>0</v>
      </c>
    </row>
    <row r="116" spans="2:9" ht="18" x14ac:dyDescent="0.3">
      <c r="B116" s="50"/>
      <c r="C116" s="25" t="str">
        <f t="shared" si="10"/>
        <v/>
      </c>
      <c r="D116" s="25" t="str">
        <f t="shared" si="11"/>
        <v/>
      </c>
      <c r="E116" s="24"/>
      <c r="F116" s="24"/>
      <c r="G116" s="24"/>
      <c r="I116" s="43">
        <f t="shared" si="6"/>
        <v>0</v>
      </c>
    </row>
    <row r="117" spans="2:9" ht="18" x14ac:dyDescent="0.3">
      <c r="B117" s="50"/>
      <c r="C117" s="25" t="str">
        <f t="shared" si="10"/>
        <v/>
      </c>
      <c r="D117" s="25" t="str">
        <f t="shared" si="11"/>
        <v/>
      </c>
      <c r="E117" s="24"/>
      <c r="F117" s="24"/>
      <c r="G117" s="24"/>
      <c r="I117" s="43">
        <f t="shared" si="6"/>
        <v>0</v>
      </c>
    </row>
    <row r="118" spans="2:9" ht="18" x14ac:dyDescent="0.3">
      <c r="B118" s="50"/>
      <c r="C118" s="25" t="str">
        <f t="shared" si="10"/>
        <v/>
      </c>
      <c r="D118" s="25" t="str">
        <f t="shared" si="11"/>
        <v/>
      </c>
      <c r="E118" s="24"/>
      <c r="F118" s="24"/>
      <c r="G118" s="24"/>
      <c r="I118" s="43">
        <f t="shared" si="6"/>
        <v>0</v>
      </c>
    </row>
    <row r="119" spans="2:9" ht="18" x14ac:dyDescent="0.3">
      <c r="B119" s="50"/>
      <c r="C119" s="25" t="str">
        <f t="shared" si="10"/>
        <v/>
      </c>
      <c r="D119" s="25" t="str">
        <f t="shared" si="11"/>
        <v/>
      </c>
      <c r="E119" s="24"/>
      <c r="F119" s="24"/>
      <c r="G119" s="24"/>
      <c r="I119" s="43">
        <f t="shared" si="6"/>
        <v>0</v>
      </c>
    </row>
    <row r="120" spans="2:9" ht="18" x14ac:dyDescent="0.3">
      <c r="B120" s="50"/>
      <c r="C120" s="25" t="str">
        <f t="shared" si="10"/>
        <v/>
      </c>
      <c r="D120" s="25" t="str">
        <f t="shared" si="11"/>
        <v/>
      </c>
      <c r="E120" s="24"/>
      <c r="F120" s="24"/>
      <c r="G120" s="24"/>
      <c r="I120" s="43">
        <f t="shared" si="6"/>
        <v>0</v>
      </c>
    </row>
    <row r="121" spans="2:9" ht="18" x14ac:dyDescent="0.3">
      <c r="B121" s="50"/>
      <c r="C121" s="25" t="str">
        <f t="shared" si="10"/>
        <v/>
      </c>
      <c r="D121" s="25" t="str">
        <f t="shared" si="11"/>
        <v/>
      </c>
      <c r="E121" s="24"/>
      <c r="F121" s="24"/>
      <c r="G121" s="24"/>
      <c r="I121" s="43">
        <f t="shared" si="6"/>
        <v>0</v>
      </c>
    </row>
    <row r="122" spans="2:9" ht="18" x14ac:dyDescent="0.3">
      <c r="B122" s="50"/>
      <c r="C122" s="25" t="str">
        <f t="shared" si="10"/>
        <v/>
      </c>
      <c r="D122" s="25" t="str">
        <f t="shared" si="11"/>
        <v/>
      </c>
      <c r="E122" s="24"/>
      <c r="F122" s="24"/>
      <c r="G122" s="24"/>
      <c r="I122" s="43">
        <f t="shared" si="6"/>
        <v>0</v>
      </c>
    </row>
    <row r="123" spans="2:9" ht="18" x14ac:dyDescent="0.3">
      <c r="B123" s="50"/>
      <c r="C123" s="25" t="str">
        <f t="shared" si="10"/>
        <v/>
      </c>
      <c r="D123" s="25" t="str">
        <f t="shared" si="11"/>
        <v/>
      </c>
      <c r="E123" s="24"/>
      <c r="F123" s="24"/>
      <c r="G123" s="24"/>
      <c r="I123" s="43">
        <f t="shared" si="6"/>
        <v>0</v>
      </c>
    </row>
    <row r="124" spans="2:9" ht="18" x14ac:dyDescent="0.3">
      <c r="B124" s="50"/>
      <c r="C124" s="25" t="str">
        <f t="shared" si="10"/>
        <v/>
      </c>
      <c r="D124" s="25" t="str">
        <f t="shared" si="11"/>
        <v/>
      </c>
      <c r="E124" s="24"/>
      <c r="F124" s="24"/>
      <c r="G124" s="24"/>
      <c r="I124" s="43">
        <f t="shared" si="6"/>
        <v>0</v>
      </c>
    </row>
    <row r="125" spans="2:9" ht="18" x14ac:dyDescent="0.3">
      <c r="B125" s="50"/>
      <c r="C125" s="25" t="str">
        <f t="shared" si="10"/>
        <v/>
      </c>
      <c r="D125" s="25" t="str">
        <f t="shared" si="11"/>
        <v/>
      </c>
      <c r="E125" s="24"/>
      <c r="F125" s="24"/>
      <c r="G125" s="24"/>
      <c r="I125" s="43">
        <f t="shared" si="6"/>
        <v>0</v>
      </c>
    </row>
    <row r="126" spans="2:9" ht="18" x14ac:dyDescent="0.3">
      <c r="B126" s="50"/>
      <c r="C126" s="25" t="str">
        <f t="shared" si="10"/>
        <v/>
      </c>
      <c r="D126" s="25" t="str">
        <f t="shared" si="11"/>
        <v/>
      </c>
      <c r="E126" s="24"/>
      <c r="F126" s="24"/>
      <c r="G126" s="24"/>
      <c r="I126" s="43">
        <f t="shared" si="6"/>
        <v>0</v>
      </c>
    </row>
    <row r="127" spans="2:9" ht="18" x14ac:dyDescent="0.3">
      <c r="B127" s="50"/>
      <c r="C127" s="25" t="str">
        <f t="shared" si="10"/>
        <v/>
      </c>
      <c r="D127" s="25" t="str">
        <f t="shared" si="11"/>
        <v/>
      </c>
      <c r="E127" s="24"/>
      <c r="F127" s="24"/>
      <c r="G127" s="24"/>
      <c r="I127" s="43">
        <f t="shared" si="6"/>
        <v>0</v>
      </c>
    </row>
    <row r="128" spans="2:9" ht="18" x14ac:dyDescent="0.3">
      <c r="B128" s="50"/>
      <c r="C128" s="25" t="str">
        <f t="shared" si="10"/>
        <v/>
      </c>
      <c r="D128" s="25" t="str">
        <f t="shared" si="11"/>
        <v/>
      </c>
      <c r="E128" s="24"/>
      <c r="F128" s="24"/>
      <c r="G128" s="24"/>
      <c r="I128" s="43">
        <f t="shared" si="6"/>
        <v>0</v>
      </c>
    </row>
    <row r="129" spans="2:9" ht="18" x14ac:dyDescent="0.3">
      <c r="B129" s="50"/>
      <c r="C129" s="25" t="str">
        <f t="shared" si="10"/>
        <v/>
      </c>
      <c r="D129" s="25" t="str">
        <f t="shared" si="11"/>
        <v/>
      </c>
      <c r="E129" s="24"/>
      <c r="F129" s="24"/>
      <c r="G129" s="24"/>
      <c r="I129" s="43">
        <f t="shared" si="6"/>
        <v>0</v>
      </c>
    </row>
    <row r="130" spans="2:9" ht="18" x14ac:dyDescent="0.3">
      <c r="B130" s="50"/>
      <c r="C130" s="25" t="str">
        <f t="shared" si="10"/>
        <v/>
      </c>
      <c r="D130" s="25" t="str">
        <f t="shared" si="11"/>
        <v/>
      </c>
      <c r="E130" s="24"/>
      <c r="F130" s="24"/>
      <c r="G130" s="24"/>
      <c r="I130" s="43">
        <f t="shared" ref="I130:I193" si="12">IF(MOD(H130,1)&gt;=0.75,1,IF(MOD(H130,1)&gt;=0.25,0.5,0))+INT(H130)</f>
        <v>0</v>
      </c>
    </row>
    <row r="131" spans="2:9" ht="18" x14ac:dyDescent="0.3">
      <c r="B131" s="50"/>
      <c r="C131" s="25" t="str">
        <f t="shared" si="10"/>
        <v/>
      </c>
      <c r="D131" s="25" t="str">
        <f t="shared" si="11"/>
        <v/>
      </c>
      <c r="E131" s="24"/>
      <c r="F131" s="24"/>
      <c r="G131" s="24"/>
      <c r="I131" s="43">
        <f t="shared" si="12"/>
        <v>0</v>
      </c>
    </row>
    <row r="132" spans="2:9" ht="18" x14ac:dyDescent="0.3">
      <c r="B132" s="50"/>
      <c r="C132" s="25" t="str">
        <f t="shared" si="10"/>
        <v/>
      </c>
      <c r="D132" s="25" t="str">
        <f t="shared" si="11"/>
        <v/>
      </c>
      <c r="E132" s="24"/>
      <c r="F132" s="24"/>
      <c r="G132" s="24"/>
      <c r="I132" s="43">
        <f t="shared" si="12"/>
        <v>0</v>
      </c>
    </row>
    <row r="133" spans="2:9" ht="18" x14ac:dyDescent="0.3">
      <c r="B133" s="50"/>
      <c r="C133" s="25" t="str">
        <f t="shared" si="10"/>
        <v/>
      </c>
      <c r="D133" s="25" t="str">
        <f t="shared" si="11"/>
        <v/>
      </c>
      <c r="E133" s="24"/>
      <c r="F133" s="24"/>
      <c r="G133" s="24"/>
      <c r="I133" s="43">
        <f t="shared" si="12"/>
        <v>0</v>
      </c>
    </row>
    <row r="134" spans="2:9" ht="18" x14ac:dyDescent="0.3">
      <c r="B134" s="50"/>
      <c r="C134" s="25" t="str">
        <f t="shared" si="10"/>
        <v/>
      </c>
      <c r="D134" s="25" t="str">
        <f t="shared" si="11"/>
        <v/>
      </c>
      <c r="E134" s="24"/>
      <c r="F134" s="24"/>
      <c r="G134" s="24"/>
      <c r="I134" s="43">
        <f t="shared" si="12"/>
        <v>0</v>
      </c>
    </row>
    <row r="135" spans="2:9" ht="18" x14ac:dyDescent="0.3">
      <c r="B135" s="50"/>
      <c r="C135" s="25" t="str">
        <f t="shared" si="10"/>
        <v/>
      </c>
      <c r="D135" s="25" t="str">
        <f t="shared" si="11"/>
        <v/>
      </c>
      <c r="E135" s="24"/>
      <c r="F135" s="24"/>
      <c r="G135" s="24"/>
      <c r="I135" s="43">
        <f t="shared" si="12"/>
        <v>0</v>
      </c>
    </row>
    <row r="136" spans="2:9" ht="18" x14ac:dyDescent="0.3">
      <c r="B136" s="50"/>
      <c r="C136" s="25" t="str">
        <f t="shared" si="10"/>
        <v/>
      </c>
      <c r="D136" s="25" t="str">
        <f t="shared" si="11"/>
        <v/>
      </c>
      <c r="E136" s="24"/>
      <c r="F136" s="24"/>
      <c r="G136" s="24"/>
      <c r="I136" s="43">
        <f t="shared" si="12"/>
        <v>0</v>
      </c>
    </row>
    <row r="137" spans="2:9" ht="18" x14ac:dyDescent="0.3">
      <c r="B137" s="50"/>
      <c r="C137" s="25" t="str">
        <f t="shared" si="10"/>
        <v/>
      </c>
      <c r="D137" s="25" t="str">
        <f t="shared" si="11"/>
        <v/>
      </c>
      <c r="E137" s="24"/>
      <c r="F137" s="24"/>
      <c r="G137" s="24"/>
      <c r="I137" s="43">
        <f t="shared" si="12"/>
        <v>0</v>
      </c>
    </row>
    <row r="138" spans="2:9" ht="18" x14ac:dyDescent="0.3">
      <c r="B138" s="50"/>
      <c r="C138" s="25" t="str">
        <f t="shared" si="10"/>
        <v/>
      </c>
      <c r="D138" s="25" t="str">
        <f t="shared" si="11"/>
        <v/>
      </c>
      <c r="E138" s="24"/>
      <c r="F138" s="24"/>
      <c r="G138" s="24"/>
      <c r="I138" s="43">
        <f t="shared" si="12"/>
        <v>0</v>
      </c>
    </row>
    <row r="139" spans="2:9" ht="18" x14ac:dyDescent="0.3">
      <c r="B139" s="50"/>
      <c r="C139" s="25" t="str">
        <f t="shared" si="10"/>
        <v/>
      </c>
      <c r="D139" s="25" t="str">
        <f t="shared" si="11"/>
        <v/>
      </c>
      <c r="E139" s="24"/>
      <c r="F139" s="24"/>
      <c r="G139" s="24"/>
      <c r="I139" s="43">
        <f t="shared" si="12"/>
        <v>0</v>
      </c>
    </row>
    <row r="140" spans="2:9" ht="18" x14ac:dyDescent="0.3">
      <c r="B140" s="50"/>
      <c r="C140" s="25" t="str">
        <f t="shared" si="10"/>
        <v/>
      </c>
      <c r="D140" s="25" t="str">
        <f t="shared" si="11"/>
        <v/>
      </c>
      <c r="E140" s="24"/>
      <c r="F140" s="24"/>
      <c r="G140" s="24"/>
      <c r="I140" s="43">
        <f t="shared" si="12"/>
        <v>0</v>
      </c>
    </row>
    <row r="141" spans="2:9" ht="18" x14ac:dyDescent="0.3">
      <c r="B141" s="50"/>
      <c r="C141" s="25" t="str">
        <f t="shared" si="10"/>
        <v/>
      </c>
      <c r="D141" s="25" t="str">
        <f t="shared" si="11"/>
        <v/>
      </c>
      <c r="E141" s="24"/>
      <c r="F141" s="24"/>
      <c r="G141" s="24"/>
      <c r="I141" s="43">
        <f t="shared" si="12"/>
        <v>0</v>
      </c>
    </row>
    <row r="142" spans="2:9" ht="18" x14ac:dyDescent="0.3">
      <c r="B142" s="50"/>
      <c r="C142" s="25" t="str">
        <f t="shared" si="10"/>
        <v/>
      </c>
      <c r="D142" s="25" t="str">
        <f t="shared" si="11"/>
        <v/>
      </c>
      <c r="E142" s="24"/>
      <c r="F142" s="24"/>
      <c r="G142" s="24"/>
      <c r="I142" s="43">
        <f t="shared" si="12"/>
        <v>0</v>
      </c>
    </row>
    <row r="143" spans="2:9" ht="18" x14ac:dyDescent="0.3">
      <c r="B143" s="50"/>
      <c r="C143" s="25" t="str">
        <f t="shared" si="10"/>
        <v/>
      </c>
      <c r="D143" s="25" t="str">
        <f t="shared" si="11"/>
        <v/>
      </c>
      <c r="E143" s="24"/>
      <c r="F143" s="24"/>
      <c r="G143" s="24"/>
      <c r="I143" s="43">
        <f t="shared" si="12"/>
        <v>0</v>
      </c>
    </row>
    <row r="144" spans="2:9" ht="18" x14ac:dyDescent="0.3">
      <c r="B144" s="50"/>
      <c r="C144" s="25" t="str">
        <f t="shared" si="10"/>
        <v/>
      </c>
      <c r="D144" s="25" t="str">
        <f t="shared" si="11"/>
        <v/>
      </c>
      <c r="E144" s="24"/>
      <c r="F144" s="24"/>
      <c r="G144" s="24"/>
      <c r="I144" s="43">
        <f t="shared" si="12"/>
        <v>0</v>
      </c>
    </row>
    <row r="145" spans="2:9" ht="18" x14ac:dyDescent="0.3">
      <c r="B145" s="50"/>
      <c r="C145" s="25" t="str">
        <f t="shared" si="10"/>
        <v/>
      </c>
      <c r="D145" s="25" t="str">
        <f t="shared" si="11"/>
        <v/>
      </c>
      <c r="E145" s="24"/>
      <c r="F145" s="24"/>
      <c r="G145" s="24"/>
      <c r="I145" s="43">
        <f t="shared" si="12"/>
        <v>0</v>
      </c>
    </row>
    <row r="146" spans="2:9" ht="18" x14ac:dyDescent="0.3">
      <c r="B146" s="50"/>
      <c r="C146" s="25" t="str">
        <f t="shared" si="10"/>
        <v/>
      </c>
      <c r="D146" s="25" t="str">
        <f t="shared" si="11"/>
        <v/>
      </c>
      <c r="E146" s="24"/>
      <c r="F146" s="24"/>
      <c r="G146" s="24"/>
      <c r="I146" s="43">
        <f t="shared" si="12"/>
        <v>0</v>
      </c>
    </row>
    <row r="147" spans="2:9" ht="18" x14ac:dyDescent="0.3">
      <c r="B147" s="50"/>
      <c r="C147" s="25" t="str">
        <f t="shared" si="10"/>
        <v/>
      </c>
      <c r="D147" s="25" t="str">
        <f t="shared" si="11"/>
        <v/>
      </c>
      <c r="E147" s="24"/>
      <c r="F147" s="24"/>
      <c r="G147" s="24"/>
      <c r="I147" s="43">
        <f t="shared" si="12"/>
        <v>0</v>
      </c>
    </row>
    <row r="148" spans="2:9" ht="18" x14ac:dyDescent="0.3">
      <c r="B148" s="50"/>
      <c r="C148" s="25" t="str">
        <f t="shared" si="10"/>
        <v/>
      </c>
      <c r="D148" s="25" t="str">
        <f t="shared" si="11"/>
        <v/>
      </c>
      <c r="E148" s="24"/>
      <c r="F148" s="24"/>
      <c r="G148" s="24"/>
      <c r="I148" s="43">
        <f t="shared" si="12"/>
        <v>0</v>
      </c>
    </row>
    <row r="149" spans="2:9" ht="18" x14ac:dyDescent="0.3">
      <c r="B149" s="50"/>
      <c r="C149" s="25" t="str">
        <f t="shared" si="10"/>
        <v/>
      </c>
      <c r="D149" s="25" t="str">
        <f t="shared" si="11"/>
        <v/>
      </c>
      <c r="E149" s="24"/>
      <c r="F149" s="24"/>
      <c r="G149" s="24"/>
      <c r="I149" s="43">
        <f t="shared" si="12"/>
        <v>0</v>
      </c>
    </row>
    <row r="150" spans="2:9" ht="18" x14ac:dyDescent="0.3">
      <c r="B150" s="50"/>
      <c r="C150" s="25" t="str">
        <f t="shared" si="10"/>
        <v/>
      </c>
      <c r="D150" s="25" t="str">
        <f t="shared" si="11"/>
        <v/>
      </c>
      <c r="E150" s="24"/>
      <c r="F150" s="24"/>
      <c r="G150" s="24"/>
      <c r="I150" s="43">
        <f t="shared" si="12"/>
        <v>0</v>
      </c>
    </row>
    <row r="151" spans="2:9" ht="18" x14ac:dyDescent="0.3">
      <c r="B151" s="50"/>
      <c r="C151" s="25" t="str">
        <f t="shared" si="10"/>
        <v/>
      </c>
      <c r="D151" s="25" t="str">
        <f t="shared" si="11"/>
        <v/>
      </c>
      <c r="E151" s="24"/>
      <c r="F151" s="24"/>
      <c r="G151" s="24"/>
      <c r="I151" s="43">
        <f t="shared" si="12"/>
        <v>0</v>
      </c>
    </row>
    <row r="152" spans="2:9" ht="18" x14ac:dyDescent="0.3">
      <c r="B152" s="50"/>
      <c r="C152" s="25" t="str">
        <f t="shared" si="10"/>
        <v/>
      </c>
      <c r="D152" s="25" t="str">
        <f t="shared" si="11"/>
        <v/>
      </c>
      <c r="E152" s="24"/>
      <c r="F152" s="24"/>
      <c r="G152" s="24"/>
      <c r="I152" s="43">
        <f t="shared" si="12"/>
        <v>0</v>
      </c>
    </row>
    <row r="153" spans="2:9" ht="18" x14ac:dyDescent="0.3">
      <c r="B153" s="50"/>
      <c r="C153" s="25" t="str">
        <f t="shared" si="10"/>
        <v/>
      </c>
      <c r="D153" s="25" t="str">
        <f t="shared" si="11"/>
        <v/>
      </c>
      <c r="E153" s="24"/>
      <c r="F153" s="24"/>
      <c r="G153" s="24"/>
      <c r="I153" s="43">
        <f t="shared" si="12"/>
        <v>0</v>
      </c>
    </row>
    <row r="154" spans="2:9" ht="18" x14ac:dyDescent="0.3">
      <c r="B154" s="50"/>
      <c r="C154" s="25" t="str">
        <f t="shared" si="10"/>
        <v/>
      </c>
      <c r="D154" s="25" t="str">
        <f t="shared" si="11"/>
        <v/>
      </c>
      <c r="E154" s="24"/>
      <c r="F154" s="24"/>
      <c r="G154" s="24"/>
      <c r="I154" s="43">
        <f t="shared" si="12"/>
        <v>0</v>
      </c>
    </row>
    <row r="155" spans="2:9" ht="18" x14ac:dyDescent="0.3">
      <c r="B155" s="50"/>
      <c r="C155" s="25" t="str">
        <f t="shared" si="10"/>
        <v/>
      </c>
      <c r="D155" s="25" t="str">
        <f t="shared" si="11"/>
        <v/>
      </c>
      <c r="E155" s="24"/>
      <c r="F155" s="24"/>
      <c r="G155" s="24"/>
      <c r="I155" s="43">
        <f t="shared" si="12"/>
        <v>0</v>
      </c>
    </row>
    <row r="156" spans="2:9" ht="18" x14ac:dyDescent="0.3">
      <c r="B156" s="50"/>
      <c r="C156" s="25" t="str">
        <f t="shared" si="10"/>
        <v/>
      </c>
      <c r="D156" s="25" t="str">
        <f t="shared" si="11"/>
        <v/>
      </c>
      <c r="E156" s="24"/>
      <c r="F156" s="24"/>
      <c r="G156" s="24"/>
      <c r="I156" s="43">
        <f t="shared" si="12"/>
        <v>0</v>
      </c>
    </row>
    <row r="157" spans="2:9" ht="18" x14ac:dyDescent="0.3">
      <c r="B157" s="50"/>
      <c r="C157" s="25" t="str">
        <f t="shared" si="10"/>
        <v/>
      </c>
      <c r="D157" s="25" t="str">
        <f t="shared" si="11"/>
        <v/>
      </c>
      <c r="E157" s="24"/>
      <c r="F157" s="24"/>
      <c r="G157" s="24"/>
      <c r="I157" s="43">
        <f t="shared" si="12"/>
        <v>0</v>
      </c>
    </row>
    <row r="158" spans="2:9" ht="18" x14ac:dyDescent="0.3">
      <c r="B158" s="50"/>
      <c r="C158" s="25" t="str">
        <f t="shared" si="10"/>
        <v/>
      </c>
      <c r="D158" s="25" t="str">
        <f t="shared" si="11"/>
        <v/>
      </c>
      <c r="E158" s="24"/>
      <c r="F158" s="24"/>
      <c r="G158" s="24"/>
      <c r="I158" s="43">
        <f t="shared" si="12"/>
        <v>0</v>
      </c>
    </row>
    <row r="159" spans="2:9" ht="18" x14ac:dyDescent="0.3">
      <c r="B159" s="50"/>
      <c r="C159" s="25" t="str">
        <f t="shared" si="10"/>
        <v/>
      </c>
      <c r="D159" s="25" t="str">
        <f t="shared" si="11"/>
        <v/>
      </c>
      <c r="E159" s="24"/>
      <c r="F159" s="24"/>
      <c r="G159" s="24"/>
      <c r="I159" s="43">
        <f t="shared" si="12"/>
        <v>0</v>
      </c>
    </row>
    <row r="160" spans="2:9" ht="18" x14ac:dyDescent="0.3">
      <c r="B160" s="50"/>
      <c r="C160" s="25" t="str">
        <f t="shared" si="10"/>
        <v/>
      </c>
      <c r="D160" s="25" t="str">
        <f t="shared" si="11"/>
        <v/>
      </c>
      <c r="E160" s="24"/>
      <c r="F160" s="24"/>
      <c r="G160" s="24"/>
      <c r="I160" s="43">
        <f t="shared" si="12"/>
        <v>0</v>
      </c>
    </row>
    <row r="161" spans="2:9" ht="18" x14ac:dyDescent="0.3">
      <c r="B161" s="50"/>
      <c r="C161" s="25" t="str">
        <f t="shared" ref="C161:C224" si="13">IFERROR(VLOOKUP(B161,DanhSachSV,2,FALSE),"")</f>
        <v/>
      </c>
      <c r="D161" s="25" t="str">
        <f t="shared" ref="D161:D224" si="14">IFERROR(VLOOKUP(B161,DanhSachSV,3,FALSE),"")</f>
        <v/>
      </c>
      <c r="E161" s="24"/>
      <c r="F161" s="24"/>
      <c r="G161" s="24"/>
      <c r="I161" s="43">
        <f t="shared" si="12"/>
        <v>0</v>
      </c>
    </row>
    <row r="162" spans="2:9" ht="18" x14ac:dyDescent="0.3">
      <c r="B162" s="50"/>
      <c r="C162" s="25" t="str">
        <f t="shared" si="13"/>
        <v/>
      </c>
      <c r="D162" s="25" t="str">
        <f t="shared" si="14"/>
        <v/>
      </c>
      <c r="E162" s="24"/>
      <c r="F162" s="24"/>
      <c r="G162" s="24"/>
      <c r="I162" s="43">
        <f t="shared" si="12"/>
        <v>0</v>
      </c>
    </row>
    <row r="163" spans="2:9" ht="18" x14ac:dyDescent="0.3">
      <c r="B163" s="50"/>
      <c r="C163" s="25" t="str">
        <f t="shared" si="13"/>
        <v/>
      </c>
      <c r="D163" s="25" t="str">
        <f t="shared" si="14"/>
        <v/>
      </c>
      <c r="E163" s="24"/>
      <c r="F163" s="24"/>
      <c r="G163" s="24"/>
      <c r="I163" s="43">
        <f t="shared" si="12"/>
        <v>0</v>
      </c>
    </row>
    <row r="164" spans="2:9" ht="18" x14ac:dyDescent="0.3">
      <c r="B164" s="50"/>
      <c r="C164" s="25" t="str">
        <f t="shared" si="13"/>
        <v/>
      </c>
      <c r="D164" s="25" t="str">
        <f t="shared" si="14"/>
        <v/>
      </c>
      <c r="E164" s="24"/>
      <c r="F164" s="24"/>
      <c r="G164" s="24"/>
      <c r="I164" s="43">
        <f t="shared" si="12"/>
        <v>0</v>
      </c>
    </row>
    <row r="165" spans="2:9" ht="18" x14ac:dyDescent="0.3">
      <c r="B165" s="50"/>
      <c r="C165" s="25" t="str">
        <f t="shared" si="13"/>
        <v/>
      </c>
      <c r="D165" s="25" t="str">
        <f t="shared" si="14"/>
        <v/>
      </c>
      <c r="E165" s="24"/>
      <c r="F165" s="24"/>
      <c r="G165" s="24"/>
      <c r="I165" s="43">
        <f t="shared" si="12"/>
        <v>0</v>
      </c>
    </row>
    <row r="166" spans="2:9" ht="18" x14ac:dyDescent="0.3">
      <c r="B166" s="50"/>
      <c r="C166" s="25" t="str">
        <f t="shared" si="13"/>
        <v/>
      </c>
      <c r="D166" s="25" t="str">
        <f t="shared" si="14"/>
        <v/>
      </c>
      <c r="E166" s="24"/>
      <c r="F166" s="24"/>
      <c r="G166" s="24"/>
      <c r="I166" s="43">
        <f t="shared" si="12"/>
        <v>0</v>
      </c>
    </row>
    <row r="167" spans="2:9" ht="18" x14ac:dyDescent="0.3">
      <c r="B167" s="50"/>
      <c r="C167" s="25" t="str">
        <f t="shared" si="13"/>
        <v/>
      </c>
      <c r="D167" s="25" t="str">
        <f t="shared" si="14"/>
        <v/>
      </c>
      <c r="E167" s="24"/>
      <c r="F167" s="24"/>
      <c r="G167" s="24"/>
      <c r="I167" s="43">
        <f t="shared" si="12"/>
        <v>0</v>
      </c>
    </row>
    <row r="168" spans="2:9" ht="18" x14ac:dyDescent="0.3">
      <c r="B168" s="50"/>
      <c r="C168" s="25" t="str">
        <f t="shared" si="13"/>
        <v/>
      </c>
      <c r="D168" s="25" t="str">
        <f t="shared" si="14"/>
        <v/>
      </c>
      <c r="E168" s="24"/>
      <c r="F168" s="24"/>
      <c r="G168" s="24"/>
      <c r="I168" s="43">
        <f t="shared" si="12"/>
        <v>0</v>
      </c>
    </row>
    <row r="169" spans="2:9" ht="18" x14ac:dyDescent="0.3">
      <c r="B169" s="50"/>
      <c r="C169" s="25" t="str">
        <f t="shared" si="13"/>
        <v/>
      </c>
      <c r="D169" s="25" t="str">
        <f t="shared" si="14"/>
        <v/>
      </c>
      <c r="E169" s="24"/>
      <c r="F169" s="24"/>
      <c r="G169" s="24"/>
      <c r="I169" s="43">
        <f t="shared" si="12"/>
        <v>0</v>
      </c>
    </row>
    <row r="170" spans="2:9" ht="18" x14ac:dyDescent="0.3">
      <c r="B170" s="50"/>
      <c r="C170" s="25" t="str">
        <f t="shared" si="13"/>
        <v/>
      </c>
      <c r="D170" s="25" t="str">
        <f t="shared" si="14"/>
        <v/>
      </c>
      <c r="E170" s="24"/>
      <c r="F170" s="24"/>
      <c r="G170" s="24"/>
      <c r="I170" s="43">
        <f t="shared" si="12"/>
        <v>0</v>
      </c>
    </row>
    <row r="171" spans="2:9" ht="18" x14ac:dyDescent="0.3">
      <c r="B171" s="50"/>
      <c r="C171" s="25" t="str">
        <f t="shared" si="13"/>
        <v/>
      </c>
      <c r="D171" s="25" t="str">
        <f t="shared" si="14"/>
        <v/>
      </c>
      <c r="E171" s="24"/>
      <c r="F171" s="24"/>
      <c r="G171" s="24"/>
      <c r="I171" s="43">
        <f t="shared" si="12"/>
        <v>0</v>
      </c>
    </row>
    <row r="172" spans="2:9" ht="18" x14ac:dyDescent="0.3">
      <c r="B172" s="50"/>
      <c r="C172" s="25" t="str">
        <f t="shared" si="13"/>
        <v/>
      </c>
      <c r="D172" s="25" t="str">
        <f t="shared" si="14"/>
        <v/>
      </c>
      <c r="E172" s="24"/>
      <c r="F172" s="24"/>
      <c r="G172" s="24"/>
      <c r="I172" s="43">
        <f t="shared" si="12"/>
        <v>0</v>
      </c>
    </row>
    <row r="173" spans="2:9" ht="18" x14ac:dyDescent="0.3">
      <c r="B173" s="50"/>
      <c r="C173" s="25" t="str">
        <f t="shared" si="13"/>
        <v/>
      </c>
      <c r="D173" s="25" t="str">
        <f t="shared" si="14"/>
        <v/>
      </c>
      <c r="E173" s="24"/>
      <c r="F173" s="24"/>
      <c r="G173" s="24"/>
      <c r="I173" s="43">
        <f t="shared" si="12"/>
        <v>0</v>
      </c>
    </row>
    <row r="174" spans="2:9" ht="18" x14ac:dyDescent="0.3">
      <c r="B174" s="50"/>
      <c r="C174" s="25" t="str">
        <f t="shared" si="13"/>
        <v/>
      </c>
      <c r="D174" s="25" t="str">
        <f t="shared" si="14"/>
        <v/>
      </c>
      <c r="E174" s="24"/>
      <c r="F174" s="24"/>
      <c r="G174" s="24"/>
      <c r="I174" s="43">
        <f t="shared" si="12"/>
        <v>0</v>
      </c>
    </row>
    <row r="175" spans="2:9" ht="18" x14ac:dyDescent="0.3">
      <c r="B175" s="50"/>
      <c r="C175" s="25" t="str">
        <f t="shared" si="13"/>
        <v/>
      </c>
      <c r="D175" s="25" t="str">
        <f t="shared" si="14"/>
        <v/>
      </c>
      <c r="E175" s="24"/>
      <c r="F175" s="24"/>
      <c r="G175" s="24"/>
      <c r="I175" s="43">
        <f t="shared" si="12"/>
        <v>0</v>
      </c>
    </row>
    <row r="176" spans="2:9" ht="18" x14ac:dyDescent="0.3">
      <c r="B176" s="50"/>
      <c r="C176" s="25" t="str">
        <f t="shared" si="13"/>
        <v/>
      </c>
      <c r="D176" s="25" t="str">
        <f t="shared" si="14"/>
        <v/>
      </c>
      <c r="E176" s="24"/>
      <c r="F176" s="24"/>
      <c r="G176" s="24"/>
      <c r="I176" s="43">
        <f t="shared" si="12"/>
        <v>0</v>
      </c>
    </row>
    <row r="177" spans="2:9" ht="18" x14ac:dyDescent="0.3">
      <c r="B177" s="50"/>
      <c r="C177" s="25" t="str">
        <f t="shared" si="13"/>
        <v/>
      </c>
      <c r="D177" s="25" t="str">
        <f t="shared" si="14"/>
        <v/>
      </c>
      <c r="E177" s="24"/>
      <c r="F177" s="24"/>
      <c r="G177" s="24"/>
      <c r="I177" s="43">
        <f t="shared" si="12"/>
        <v>0</v>
      </c>
    </row>
    <row r="178" spans="2:9" ht="18" x14ac:dyDescent="0.3">
      <c r="B178" s="50"/>
      <c r="C178" s="25" t="str">
        <f t="shared" si="13"/>
        <v/>
      </c>
      <c r="D178" s="25" t="str">
        <f t="shared" si="14"/>
        <v/>
      </c>
      <c r="E178" s="24"/>
      <c r="F178" s="24"/>
      <c r="G178" s="24"/>
      <c r="I178" s="43">
        <f t="shared" si="12"/>
        <v>0</v>
      </c>
    </row>
    <row r="179" spans="2:9" ht="18" x14ac:dyDescent="0.3">
      <c r="B179" s="50"/>
      <c r="C179" s="25" t="str">
        <f t="shared" si="13"/>
        <v/>
      </c>
      <c r="D179" s="25" t="str">
        <f t="shared" si="14"/>
        <v/>
      </c>
      <c r="E179" s="24"/>
      <c r="F179" s="24"/>
      <c r="G179" s="24"/>
      <c r="I179" s="43">
        <f t="shared" si="12"/>
        <v>0</v>
      </c>
    </row>
    <row r="180" spans="2:9" ht="18" x14ac:dyDescent="0.3">
      <c r="B180" s="50"/>
      <c r="C180" s="25" t="str">
        <f t="shared" si="13"/>
        <v/>
      </c>
      <c r="D180" s="25" t="str">
        <f t="shared" si="14"/>
        <v/>
      </c>
      <c r="E180" s="24"/>
      <c r="F180" s="24"/>
      <c r="G180" s="24"/>
      <c r="I180" s="43">
        <f t="shared" si="12"/>
        <v>0</v>
      </c>
    </row>
    <row r="181" spans="2:9" ht="18" x14ac:dyDescent="0.3">
      <c r="B181" s="50"/>
      <c r="C181" s="25" t="str">
        <f t="shared" si="13"/>
        <v/>
      </c>
      <c r="D181" s="25" t="str">
        <f t="shared" si="14"/>
        <v/>
      </c>
      <c r="E181" s="24"/>
      <c r="F181" s="24"/>
      <c r="G181" s="24"/>
      <c r="I181" s="43">
        <f t="shared" si="12"/>
        <v>0</v>
      </c>
    </row>
    <row r="182" spans="2:9" ht="18" x14ac:dyDescent="0.3">
      <c r="B182" s="50"/>
      <c r="C182" s="25" t="str">
        <f t="shared" si="13"/>
        <v/>
      </c>
      <c r="D182" s="25" t="str">
        <f t="shared" si="14"/>
        <v/>
      </c>
      <c r="E182" s="24"/>
      <c r="F182" s="24"/>
      <c r="G182" s="24"/>
      <c r="I182" s="43">
        <f t="shared" si="12"/>
        <v>0</v>
      </c>
    </row>
    <row r="183" spans="2:9" ht="18" x14ac:dyDescent="0.3">
      <c r="B183" s="50"/>
      <c r="C183" s="25" t="str">
        <f t="shared" si="13"/>
        <v/>
      </c>
      <c r="D183" s="25" t="str">
        <f t="shared" si="14"/>
        <v/>
      </c>
      <c r="E183" s="24"/>
      <c r="F183" s="24"/>
      <c r="G183" s="24"/>
      <c r="I183" s="43">
        <f t="shared" si="12"/>
        <v>0</v>
      </c>
    </row>
    <row r="184" spans="2:9" ht="18" x14ac:dyDescent="0.3">
      <c r="B184" s="50"/>
      <c r="C184" s="25" t="str">
        <f t="shared" si="13"/>
        <v/>
      </c>
      <c r="D184" s="25" t="str">
        <f t="shared" si="14"/>
        <v/>
      </c>
      <c r="E184" s="24"/>
      <c r="F184" s="24"/>
      <c r="G184" s="24"/>
      <c r="I184" s="43">
        <f t="shared" si="12"/>
        <v>0</v>
      </c>
    </row>
    <row r="185" spans="2:9" ht="18" x14ac:dyDescent="0.3">
      <c r="B185" s="50"/>
      <c r="C185" s="25" t="str">
        <f t="shared" si="13"/>
        <v/>
      </c>
      <c r="D185" s="25" t="str">
        <f t="shared" si="14"/>
        <v/>
      </c>
      <c r="E185" s="24"/>
      <c r="F185" s="24"/>
      <c r="G185" s="24"/>
      <c r="I185" s="43">
        <f t="shared" si="12"/>
        <v>0</v>
      </c>
    </row>
    <row r="186" spans="2:9" ht="18" x14ac:dyDescent="0.3">
      <c r="B186" s="50"/>
      <c r="C186" s="25" t="str">
        <f t="shared" si="13"/>
        <v/>
      </c>
      <c r="D186" s="25" t="str">
        <f t="shared" si="14"/>
        <v/>
      </c>
      <c r="E186" s="24"/>
      <c r="F186" s="24"/>
      <c r="G186" s="24"/>
      <c r="I186" s="43">
        <f t="shared" si="12"/>
        <v>0</v>
      </c>
    </row>
    <row r="187" spans="2:9" ht="18" x14ac:dyDescent="0.3">
      <c r="B187" s="50"/>
      <c r="C187" s="25" t="str">
        <f t="shared" si="13"/>
        <v/>
      </c>
      <c r="D187" s="25" t="str">
        <f t="shared" si="14"/>
        <v/>
      </c>
      <c r="E187" s="24"/>
      <c r="F187" s="24"/>
      <c r="G187" s="24"/>
      <c r="I187" s="43">
        <f t="shared" si="12"/>
        <v>0</v>
      </c>
    </row>
    <row r="188" spans="2:9" ht="18" x14ac:dyDescent="0.3">
      <c r="B188" s="50"/>
      <c r="C188" s="25" t="str">
        <f t="shared" si="13"/>
        <v/>
      </c>
      <c r="D188" s="25" t="str">
        <f t="shared" si="14"/>
        <v/>
      </c>
      <c r="E188" s="24"/>
      <c r="F188" s="24"/>
      <c r="G188" s="24"/>
      <c r="I188" s="43">
        <f t="shared" si="12"/>
        <v>0</v>
      </c>
    </row>
    <row r="189" spans="2:9" ht="18" x14ac:dyDescent="0.3">
      <c r="B189" s="50"/>
      <c r="C189" s="25" t="str">
        <f t="shared" si="13"/>
        <v/>
      </c>
      <c r="D189" s="25" t="str">
        <f t="shared" si="14"/>
        <v/>
      </c>
      <c r="E189" s="24"/>
      <c r="F189" s="24"/>
      <c r="G189" s="24"/>
      <c r="I189" s="43">
        <f t="shared" si="12"/>
        <v>0</v>
      </c>
    </row>
    <row r="190" spans="2:9" ht="18" x14ac:dyDescent="0.3">
      <c r="B190" s="50"/>
      <c r="C190" s="25" t="str">
        <f t="shared" si="13"/>
        <v/>
      </c>
      <c r="D190" s="25" t="str">
        <f t="shared" si="14"/>
        <v/>
      </c>
      <c r="E190" s="24"/>
      <c r="F190" s="24"/>
      <c r="G190" s="24"/>
      <c r="I190" s="43">
        <f t="shared" si="12"/>
        <v>0</v>
      </c>
    </row>
    <row r="191" spans="2:9" ht="18" x14ac:dyDescent="0.3">
      <c r="B191" s="50"/>
      <c r="C191" s="25" t="str">
        <f t="shared" si="13"/>
        <v/>
      </c>
      <c r="D191" s="25" t="str">
        <f t="shared" si="14"/>
        <v/>
      </c>
      <c r="E191" s="24"/>
      <c r="F191" s="24"/>
      <c r="G191" s="24"/>
      <c r="I191" s="43">
        <f t="shared" si="12"/>
        <v>0</v>
      </c>
    </row>
    <row r="192" spans="2:9" ht="18" x14ac:dyDescent="0.3">
      <c r="B192" s="50"/>
      <c r="C192" s="25" t="str">
        <f t="shared" si="13"/>
        <v/>
      </c>
      <c r="D192" s="25" t="str">
        <f t="shared" si="14"/>
        <v/>
      </c>
      <c r="E192" s="24"/>
      <c r="F192" s="24"/>
      <c r="G192" s="24"/>
      <c r="I192" s="43">
        <f t="shared" si="12"/>
        <v>0</v>
      </c>
    </row>
    <row r="193" spans="2:9" ht="18" x14ac:dyDescent="0.3">
      <c r="B193" s="50"/>
      <c r="C193" s="25" t="str">
        <f t="shared" si="13"/>
        <v/>
      </c>
      <c r="D193" s="25" t="str">
        <f t="shared" si="14"/>
        <v/>
      </c>
      <c r="E193" s="24"/>
      <c r="F193" s="24"/>
      <c r="G193" s="24"/>
      <c r="I193" s="43">
        <f t="shared" si="12"/>
        <v>0</v>
      </c>
    </row>
    <row r="194" spans="2:9" ht="18" x14ac:dyDescent="0.3">
      <c r="B194" s="50"/>
      <c r="C194" s="25" t="str">
        <f t="shared" si="13"/>
        <v/>
      </c>
      <c r="D194" s="25" t="str">
        <f t="shared" si="14"/>
        <v/>
      </c>
      <c r="E194" s="24"/>
      <c r="F194" s="24"/>
      <c r="G194" s="24"/>
      <c r="I194" s="43">
        <f t="shared" ref="I194:I257" si="15">IF(MOD(H194,1)&gt;=0.75,1,IF(MOD(H194,1)&gt;=0.25,0.5,0))+INT(H194)</f>
        <v>0</v>
      </c>
    </row>
    <row r="195" spans="2:9" ht="18" x14ac:dyDescent="0.3">
      <c r="B195" s="50"/>
      <c r="C195" s="25" t="str">
        <f t="shared" si="13"/>
        <v/>
      </c>
      <c r="D195" s="25" t="str">
        <f t="shared" si="14"/>
        <v/>
      </c>
      <c r="E195" s="24"/>
      <c r="F195" s="24"/>
      <c r="G195" s="24"/>
      <c r="I195" s="43">
        <f t="shared" si="15"/>
        <v>0</v>
      </c>
    </row>
    <row r="196" spans="2:9" ht="18" x14ac:dyDescent="0.3">
      <c r="B196" s="50"/>
      <c r="C196" s="25" t="str">
        <f t="shared" si="13"/>
        <v/>
      </c>
      <c r="D196" s="25" t="str">
        <f t="shared" si="14"/>
        <v/>
      </c>
      <c r="E196" s="24"/>
      <c r="F196" s="24"/>
      <c r="G196" s="24"/>
      <c r="I196" s="43">
        <f t="shared" si="15"/>
        <v>0</v>
      </c>
    </row>
    <row r="197" spans="2:9" ht="18" x14ac:dyDescent="0.3">
      <c r="B197" s="50"/>
      <c r="C197" s="25" t="str">
        <f t="shared" si="13"/>
        <v/>
      </c>
      <c r="D197" s="25" t="str">
        <f t="shared" si="14"/>
        <v/>
      </c>
      <c r="E197" s="24"/>
      <c r="F197" s="24"/>
      <c r="G197" s="24"/>
      <c r="I197" s="43">
        <f t="shared" si="15"/>
        <v>0</v>
      </c>
    </row>
    <row r="198" spans="2:9" ht="18" x14ac:dyDescent="0.3">
      <c r="B198" s="50"/>
      <c r="C198" s="25" t="str">
        <f t="shared" si="13"/>
        <v/>
      </c>
      <c r="D198" s="25" t="str">
        <f t="shared" si="14"/>
        <v/>
      </c>
      <c r="E198" s="24"/>
      <c r="F198" s="24"/>
      <c r="G198" s="24"/>
      <c r="I198" s="43">
        <f t="shared" si="15"/>
        <v>0</v>
      </c>
    </row>
    <row r="199" spans="2:9" ht="18" x14ac:dyDescent="0.3">
      <c r="B199" s="50"/>
      <c r="C199" s="25" t="str">
        <f t="shared" si="13"/>
        <v/>
      </c>
      <c r="D199" s="25" t="str">
        <f t="shared" si="14"/>
        <v/>
      </c>
      <c r="E199" s="24"/>
      <c r="F199" s="24"/>
      <c r="G199" s="24"/>
      <c r="I199" s="43">
        <f t="shared" si="15"/>
        <v>0</v>
      </c>
    </row>
    <row r="200" spans="2:9" ht="18" x14ac:dyDescent="0.3">
      <c r="B200" s="50"/>
      <c r="C200" s="25" t="str">
        <f t="shared" si="13"/>
        <v/>
      </c>
      <c r="D200" s="25" t="str">
        <f t="shared" si="14"/>
        <v/>
      </c>
      <c r="E200" s="24"/>
      <c r="F200" s="24"/>
      <c r="G200" s="24"/>
      <c r="I200" s="43">
        <f t="shared" si="15"/>
        <v>0</v>
      </c>
    </row>
    <row r="201" spans="2:9" ht="18" x14ac:dyDescent="0.3">
      <c r="B201" s="50"/>
      <c r="C201" s="25" t="str">
        <f t="shared" si="13"/>
        <v/>
      </c>
      <c r="D201" s="25" t="str">
        <f t="shared" si="14"/>
        <v/>
      </c>
      <c r="E201" s="24"/>
      <c r="F201" s="24"/>
      <c r="G201" s="24"/>
      <c r="I201" s="43">
        <f t="shared" si="15"/>
        <v>0</v>
      </c>
    </row>
    <row r="202" spans="2:9" ht="18" x14ac:dyDescent="0.3">
      <c r="B202" s="50"/>
      <c r="C202" s="25" t="str">
        <f t="shared" si="13"/>
        <v/>
      </c>
      <c r="D202" s="25" t="str">
        <f t="shared" si="14"/>
        <v/>
      </c>
      <c r="E202" s="24"/>
      <c r="F202" s="24"/>
      <c r="G202" s="24"/>
      <c r="I202" s="43">
        <f t="shared" si="15"/>
        <v>0</v>
      </c>
    </row>
    <row r="203" spans="2:9" ht="18" x14ac:dyDescent="0.3">
      <c r="B203" s="50"/>
      <c r="C203" s="25" t="str">
        <f t="shared" si="13"/>
        <v/>
      </c>
      <c r="D203" s="25" t="str">
        <f t="shared" si="14"/>
        <v/>
      </c>
      <c r="E203" s="24"/>
      <c r="F203" s="24"/>
      <c r="G203" s="24"/>
      <c r="I203" s="43">
        <f t="shared" si="15"/>
        <v>0</v>
      </c>
    </row>
    <row r="204" spans="2:9" ht="18" x14ac:dyDescent="0.3">
      <c r="B204" s="50"/>
      <c r="C204" s="25" t="str">
        <f t="shared" si="13"/>
        <v/>
      </c>
      <c r="D204" s="25" t="str">
        <f t="shared" si="14"/>
        <v/>
      </c>
      <c r="E204" s="24"/>
      <c r="F204" s="24"/>
      <c r="G204" s="24"/>
      <c r="I204" s="43">
        <f t="shared" si="15"/>
        <v>0</v>
      </c>
    </row>
    <row r="205" spans="2:9" ht="18" x14ac:dyDescent="0.3">
      <c r="B205" s="50"/>
      <c r="C205" s="25" t="str">
        <f t="shared" si="13"/>
        <v/>
      </c>
      <c r="D205" s="25" t="str">
        <f t="shared" si="14"/>
        <v/>
      </c>
      <c r="E205" s="24"/>
      <c r="F205" s="24"/>
      <c r="G205" s="24"/>
      <c r="I205" s="43">
        <f t="shared" si="15"/>
        <v>0</v>
      </c>
    </row>
    <row r="206" spans="2:9" ht="18" x14ac:dyDescent="0.3">
      <c r="B206" s="50"/>
      <c r="C206" s="25" t="str">
        <f t="shared" si="13"/>
        <v/>
      </c>
      <c r="D206" s="25" t="str">
        <f t="shared" si="14"/>
        <v/>
      </c>
      <c r="E206" s="24"/>
      <c r="F206" s="24"/>
      <c r="G206" s="24"/>
      <c r="I206" s="43">
        <f t="shared" si="15"/>
        <v>0</v>
      </c>
    </row>
    <row r="207" spans="2:9" ht="18" x14ac:dyDescent="0.3">
      <c r="B207" s="50"/>
      <c r="C207" s="25" t="str">
        <f t="shared" si="13"/>
        <v/>
      </c>
      <c r="D207" s="25" t="str">
        <f t="shared" si="14"/>
        <v/>
      </c>
      <c r="E207" s="24"/>
      <c r="F207" s="24"/>
      <c r="G207" s="24"/>
      <c r="I207" s="43">
        <f t="shared" si="15"/>
        <v>0</v>
      </c>
    </row>
    <row r="208" spans="2:9" ht="18" x14ac:dyDescent="0.3">
      <c r="B208" s="50"/>
      <c r="C208" s="25" t="str">
        <f t="shared" si="13"/>
        <v/>
      </c>
      <c r="D208" s="25" t="str">
        <f t="shared" si="14"/>
        <v/>
      </c>
      <c r="E208" s="24"/>
      <c r="F208" s="24"/>
      <c r="G208" s="24"/>
      <c r="I208" s="43">
        <f t="shared" si="15"/>
        <v>0</v>
      </c>
    </row>
    <row r="209" spans="2:9" ht="18" x14ac:dyDescent="0.3">
      <c r="B209" s="50"/>
      <c r="C209" s="25" t="str">
        <f t="shared" si="13"/>
        <v/>
      </c>
      <c r="D209" s="25" t="str">
        <f t="shared" si="14"/>
        <v/>
      </c>
      <c r="E209" s="24"/>
      <c r="F209" s="24"/>
      <c r="G209" s="24"/>
      <c r="I209" s="43">
        <f t="shared" si="15"/>
        <v>0</v>
      </c>
    </row>
    <row r="210" spans="2:9" ht="18" x14ac:dyDescent="0.3">
      <c r="B210" s="50"/>
      <c r="C210" s="25" t="str">
        <f t="shared" si="13"/>
        <v/>
      </c>
      <c r="D210" s="25" t="str">
        <f t="shared" si="14"/>
        <v/>
      </c>
      <c r="E210" s="24"/>
      <c r="F210" s="24"/>
      <c r="G210" s="24"/>
      <c r="I210" s="43">
        <f t="shared" si="15"/>
        <v>0</v>
      </c>
    </row>
    <row r="211" spans="2:9" ht="18" x14ac:dyDescent="0.3">
      <c r="B211" s="50"/>
      <c r="C211" s="25" t="str">
        <f t="shared" si="13"/>
        <v/>
      </c>
      <c r="D211" s="25" t="str">
        <f t="shared" si="14"/>
        <v/>
      </c>
      <c r="E211" s="24"/>
      <c r="F211" s="24"/>
      <c r="G211" s="24"/>
      <c r="I211" s="43">
        <f t="shared" si="15"/>
        <v>0</v>
      </c>
    </row>
    <row r="212" spans="2:9" ht="18" x14ac:dyDescent="0.3">
      <c r="B212" s="50"/>
      <c r="C212" s="25" t="str">
        <f t="shared" si="13"/>
        <v/>
      </c>
      <c r="D212" s="25" t="str">
        <f t="shared" si="14"/>
        <v/>
      </c>
      <c r="E212" s="24"/>
      <c r="F212" s="24"/>
      <c r="G212" s="24"/>
      <c r="I212" s="43">
        <f t="shared" si="15"/>
        <v>0</v>
      </c>
    </row>
    <row r="213" spans="2:9" ht="18" x14ac:dyDescent="0.3">
      <c r="B213" s="50"/>
      <c r="C213" s="25" t="str">
        <f t="shared" si="13"/>
        <v/>
      </c>
      <c r="D213" s="25" t="str">
        <f t="shared" si="14"/>
        <v/>
      </c>
      <c r="E213" s="24"/>
      <c r="F213" s="24"/>
      <c r="G213" s="24"/>
      <c r="I213" s="43">
        <f t="shared" si="15"/>
        <v>0</v>
      </c>
    </row>
    <row r="214" spans="2:9" ht="18" x14ac:dyDescent="0.3">
      <c r="B214" s="50"/>
      <c r="C214" s="25" t="str">
        <f t="shared" si="13"/>
        <v/>
      </c>
      <c r="D214" s="25" t="str">
        <f t="shared" si="14"/>
        <v/>
      </c>
      <c r="E214" s="24"/>
      <c r="F214" s="24"/>
      <c r="G214" s="24"/>
      <c r="I214" s="43">
        <f t="shared" si="15"/>
        <v>0</v>
      </c>
    </row>
    <row r="215" spans="2:9" ht="18" x14ac:dyDescent="0.3">
      <c r="B215" s="50"/>
      <c r="C215" s="25" t="str">
        <f t="shared" si="13"/>
        <v/>
      </c>
      <c r="D215" s="25" t="str">
        <f t="shared" si="14"/>
        <v/>
      </c>
      <c r="E215" s="24"/>
      <c r="F215" s="24"/>
      <c r="G215" s="24"/>
      <c r="I215" s="43">
        <f t="shared" si="15"/>
        <v>0</v>
      </c>
    </row>
    <row r="216" spans="2:9" ht="18" x14ac:dyDescent="0.3">
      <c r="B216" s="50"/>
      <c r="C216" s="25" t="str">
        <f t="shared" si="13"/>
        <v/>
      </c>
      <c r="D216" s="25" t="str">
        <f t="shared" si="14"/>
        <v/>
      </c>
      <c r="E216" s="24"/>
      <c r="F216" s="24"/>
      <c r="G216" s="24"/>
      <c r="I216" s="43">
        <f t="shared" si="15"/>
        <v>0</v>
      </c>
    </row>
    <row r="217" spans="2:9" ht="18" x14ac:dyDescent="0.3">
      <c r="B217" s="50"/>
      <c r="C217" s="25" t="str">
        <f t="shared" si="13"/>
        <v/>
      </c>
      <c r="D217" s="25" t="str">
        <f t="shared" si="14"/>
        <v/>
      </c>
      <c r="E217" s="24"/>
      <c r="F217" s="24"/>
      <c r="G217" s="24"/>
      <c r="I217" s="43">
        <f t="shared" si="15"/>
        <v>0</v>
      </c>
    </row>
    <row r="218" spans="2:9" ht="18" x14ac:dyDescent="0.3">
      <c r="B218" s="50"/>
      <c r="C218" s="25" t="str">
        <f t="shared" si="13"/>
        <v/>
      </c>
      <c r="D218" s="25" t="str">
        <f t="shared" si="14"/>
        <v/>
      </c>
      <c r="E218" s="24"/>
      <c r="F218" s="24"/>
      <c r="G218" s="24"/>
      <c r="I218" s="43">
        <f t="shared" si="15"/>
        <v>0</v>
      </c>
    </row>
    <row r="219" spans="2:9" ht="18" x14ac:dyDescent="0.3">
      <c r="B219" s="50"/>
      <c r="C219" s="25" t="str">
        <f t="shared" si="13"/>
        <v/>
      </c>
      <c r="D219" s="25" t="str">
        <f t="shared" si="14"/>
        <v/>
      </c>
      <c r="E219" s="24"/>
      <c r="F219" s="24"/>
      <c r="G219" s="24"/>
      <c r="I219" s="43">
        <f t="shared" si="15"/>
        <v>0</v>
      </c>
    </row>
    <row r="220" spans="2:9" ht="18" x14ac:dyDescent="0.3">
      <c r="B220" s="50"/>
      <c r="C220" s="25" t="str">
        <f t="shared" si="13"/>
        <v/>
      </c>
      <c r="D220" s="25" t="str">
        <f t="shared" si="14"/>
        <v/>
      </c>
      <c r="E220" s="24"/>
      <c r="F220" s="24"/>
      <c r="G220" s="24"/>
      <c r="I220" s="43">
        <f t="shared" si="15"/>
        <v>0</v>
      </c>
    </row>
    <row r="221" spans="2:9" ht="18" x14ac:dyDescent="0.3">
      <c r="B221" s="50"/>
      <c r="C221" s="25" t="str">
        <f t="shared" si="13"/>
        <v/>
      </c>
      <c r="D221" s="25" t="str">
        <f t="shared" si="14"/>
        <v/>
      </c>
      <c r="E221" s="24"/>
      <c r="F221" s="24"/>
      <c r="G221" s="24"/>
      <c r="I221" s="43">
        <f t="shared" si="15"/>
        <v>0</v>
      </c>
    </row>
    <row r="222" spans="2:9" ht="18" x14ac:dyDescent="0.3">
      <c r="B222" s="50"/>
      <c r="C222" s="25" t="str">
        <f t="shared" si="13"/>
        <v/>
      </c>
      <c r="D222" s="25" t="str">
        <f t="shared" si="14"/>
        <v/>
      </c>
      <c r="E222" s="24"/>
      <c r="F222" s="24"/>
      <c r="G222" s="24"/>
      <c r="I222" s="43">
        <f t="shared" si="15"/>
        <v>0</v>
      </c>
    </row>
    <row r="223" spans="2:9" ht="18" x14ac:dyDescent="0.3">
      <c r="B223" s="50"/>
      <c r="C223" s="25" t="str">
        <f t="shared" si="13"/>
        <v/>
      </c>
      <c r="D223" s="25" t="str">
        <f t="shared" si="14"/>
        <v/>
      </c>
      <c r="E223" s="24"/>
      <c r="F223" s="24"/>
      <c r="G223" s="24"/>
      <c r="I223" s="43">
        <f t="shared" si="15"/>
        <v>0</v>
      </c>
    </row>
    <row r="224" spans="2:9" ht="18" x14ac:dyDescent="0.3">
      <c r="B224" s="50"/>
      <c r="C224" s="25" t="str">
        <f t="shared" si="13"/>
        <v/>
      </c>
      <c r="D224" s="25" t="str">
        <f t="shared" si="14"/>
        <v/>
      </c>
      <c r="E224" s="24"/>
      <c r="F224" s="24"/>
      <c r="G224" s="24"/>
      <c r="I224" s="43">
        <f t="shared" si="15"/>
        <v>0</v>
      </c>
    </row>
    <row r="225" spans="2:9" ht="18" x14ac:dyDescent="0.3">
      <c r="B225" s="50"/>
      <c r="C225" s="25" t="str">
        <f t="shared" ref="C225:C283" si="16">IFERROR(VLOOKUP(B225,DanhSachSV,2,FALSE),"")</f>
        <v/>
      </c>
      <c r="D225" s="25" t="str">
        <f t="shared" ref="D225:D283" si="17">IFERROR(VLOOKUP(B225,DanhSachSV,3,FALSE),"")</f>
        <v/>
      </c>
      <c r="E225" s="24"/>
      <c r="F225" s="24"/>
      <c r="G225" s="24"/>
      <c r="I225" s="43">
        <f t="shared" si="15"/>
        <v>0</v>
      </c>
    </row>
    <row r="226" spans="2:9" ht="18" x14ac:dyDescent="0.3">
      <c r="B226" s="50"/>
      <c r="C226" s="25" t="str">
        <f t="shared" si="16"/>
        <v/>
      </c>
      <c r="D226" s="25" t="str">
        <f t="shared" si="17"/>
        <v/>
      </c>
      <c r="E226" s="24"/>
      <c r="F226" s="24"/>
      <c r="G226" s="24"/>
      <c r="I226" s="43">
        <f t="shared" si="15"/>
        <v>0</v>
      </c>
    </row>
    <row r="227" spans="2:9" ht="18" x14ac:dyDescent="0.3">
      <c r="B227" s="50"/>
      <c r="C227" s="25" t="str">
        <f t="shared" si="16"/>
        <v/>
      </c>
      <c r="D227" s="25" t="str">
        <f t="shared" si="17"/>
        <v/>
      </c>
      <c r="E227" s="24"/>
      <c r="F227" s="24"/>
      <c r="G227" s="24"/>
      <c r="I227" s="43">
        <f t="shared" si="15"/>
        <v>0</v>
      </c>
    </row>
    <row r="228" spans="2:9" ht="18" x14ac:dyDescent="0.3">
      <c r="B228" s="50"/>
      <c r="C228" s="25" t="str">
        <f t="shared" si="16"/>
        <v/>
      </c>
      <c r="D228" s="25" t="str">
        <f t="shared" si="17"/>
        <v/>
      </c>
      <c r="E228" s="24"/>
      <c r="F228" s="24"/>
      <c r="G228" s="24"/>
      <c r="I228" s="43">
        <f t="shared" si="15"/>
        <v>0</v>
      </c>
    </row>
    <row r="229" spans="2:9" ht="18" x14ac:dyDescent="0.3">
      <c r="B229" s="50"/>
      <c r="C229" s="25" t="str">
        <f t="shared" si="16"/>
        <v/>
      </c>
      <c r="D229" s="25" t="str">
        <f t="shared" si="17"/>
        <v/>
      </c>
      <c r="E229" s="24"/>
      <c r="F229" s="24"/>
      <c r="G229" s="24"/>
      <c r="I229" s="43">
        <f t="shared" si="15"/>
        <v>0</v>
      </c>
    </row>
    <row r="230" spans="2:9" ht="18" x14ac:dyDescent="0.3">
      <c r="B230" s="50"/>
      <c r="C230" s="25" t="str">
        <f t="shared" si="16"/>
        <v/>
      </c>
      <c r="D230" s="25" t="str">
        <f t="shared" si="17"/>
        <v/>
      </c>
      <c r="E230" s="24"/>
      <c r="F230" s="24"/>
      <c r="G230" s="24"/>
      <c r="I230" s="43">
        <f t="shared" si="15"/>
        <v>0</v>
      </c>
    </row>
    <row r="231" spans="2:9" ht="18" x14ac:dyDescent="0.3">
      <c r="B231" s="50"/>
      <c r="C231" s="25" t="str">
        <f t="shared" si="16"/>
        <v/>
      </c>
      <c r="D231" s="25" t="str">
        <f t="shared" si="17"/>
        <v/>
      </c>
      <c r="E231" s="24"/>
      <c r="F231" s="24"/>
      <c r="G231" s="24"/>
      <c r="I231" s="43">
        <f t="shared" si="15"/>
        <v>0</v>
      </c>
    </row>
    <row r="232" spans="2:9" ht="18" x14ac:dyDescent="0.3">
      <c r="B232" s="50"/>
      <c r="C232" s="25" t="str">
        <f t="shared" si="16"/>
        <v/>
      </c>
      <c r="D232" s="25" t="str">
        <f t="shared" si="17"/>
        <v/>
      </c>
      <c r="E232" s="24"/>
      <c r="F232" s="24"/>
      <c r="G232" s="24"/>
      <c r="I232" s="43">
        <f t="shared" si="15"/>
        <v>0</v>
      </c>
    </row>
    <row r="233" spans="2:9" ht="18" x14ac:dyDescent="0.3">
      <c r="B233" s="50"/>
      <c r="C233" s="25" t="str">
        <f t="shared" si="16"/>
        <v/>
      </c>
      <c r="D233" s="25" t="str">
        <f t="shared" si="17"/>
        <v/>
      </c>
      <c r="E233" s="24"/>
      <c r="F233" s="24"/>
      <c r="G233" s="24"/>
      <c r="I233" s="43">
        <f t="shared" si="15"/>
        <v>0</v>
      </c>
    </row>
    <row r="234" spans="2:9" ht="18" x14ac:dyDescent="0.3">
      <c r="B234" s="50"/>
      <c r="C234" s="25" t="str">
        <f t="shared" si="16"/>
        <v/>
      </c>
      <c r="D234" s="25" t="str">
        <f t="shared" si="17"/>
        <v/>
      </c>
      <c r="E234" s="24"/>
      <c r="F234" s="24"/>
      <c r="G234" s="24"/>
      <c r="I234" s="43">
        <f t="shared" si="15"/>
        <v>0</v>
      </c>
    </row>
    <row r="235" spans="2:9" ht="18" x14ac:dyDescent="0.3">
      <c r="B235" s="50"/>
      <c r="C235" s="25" t="str">
        <f t="shared" si="16"/>
        <v/>
      </c>
      <c r="D235" s="25" t="str">
        <f t="shared" si="17"/>
        <v/>
      </c>
      <c r="E235" s="24"/>
      <c r="F235" s="24"/>
      <c r="G235" s="24"/>
      <c r="I235" s="43">
        <f t="shared" si="15"/>
        <v>0</v>
      </c>
    </row>
    <row r="236" spans="2:9" ht="18" x14ac:dyDescent="0.3">
      <c r="B236" s="50"/>
      <c r="C236" s="25" t="str">
        <f t="shared" si="16"/>
        <v/>
      </c>
      <c r="D236" s="25" t="str">
        <f t="shared" si="17"/>
        <v/>
      </c>
      <c r="E236" s="24"/>
      <c r="F236" s="24"/>
      <c r="G236" s="24"/>
      <c r="I236" s="43">
        <f t="shared" si="15"/>
        <v>0</v>
      </c>
    </row>
    <row r="237" spans="2:9" ht="18" x14ac:dyDescent="0.3">
      <c r="B237" s="50"/>
      <c r="C237" s="25" t="str">
        <f t="shared" si="16"/>
        <v/>
      </c>
      <c r="D237" s="25" t="str">
        <f t="shared" si="17"/>
        <v/>
      </c>
      <c r="E237" s="24"/>
      <c r="F237" s="24"/>
      <c r="G237" s="24"/>
      <c r="I237" s="43">
        <f t="shared" si="15"/>
        <v>0</v>
      </c>
    </row>
    <row r="238" spans="2:9" ht="18" x14ac:dyDescent="0.3">
      <c r="B238" s="50"/>
      <c r="C238" s="25" t="str">
        <f t="shared" si="16"/>
        <v/>
      </c>
      <c r="D238" s="25" t="str">
        <f t="shared" si="17"/>
        <v/>
      </c>
      <c r="E238" s="24"/>
      <c r="F238" s="24"/>
      <c r="G238" s="24"/>
      <c r="I238" s="43">
        <f t="shared" si="15"/>
        <v>0</v>
      </c>
    </row>
    <row r="239" spans="2:9" ht="18" x14ac:dyDescent="0.3">
      <c r="B239" s="50"/>
      <c r="C239" s="25" t="str">
        <f t="shared" si="16"/>
        <v/>
      </c>
      <c r="D239" s="25" t="str">
        <f t="shared" si="17"/>
        <v/>
      </c>
      <c r="E239" s="24"/>
      <c r="F239" s="24"/>
      <c r="G239" s="24"/>
      <c r="I239" s="43">
        <f t="shared" si="15"/>
        <v>0</v>
      </c>
    </row>
    <row r="240" spans="2:9" ht="18" x14ac:dyDescent="0.3">
      <c r="B240" s="50"/>
      <c r="C240" s="25" t="str">
        <f t="shared" si="16"/>
        <v/>
      </c>
      <c r="D240" s="25" t="str">
        <f t="shared" si="17"/>
        <v/>
      </c>
      <c r="E240" s="24"/>
      <c r="F240" s="24"/>
      <c r="G240" s="24"/>
      <c r="I240" s="43">
        <f t="shared" si="15"/>
        <v>0</v>
      </c>
    </row>
    <row r="241" spans="2:9" ht="18" x14ac:dyDescent="0.3">
      <c r="B241" s="50"/>
      <c r="C241" s="25" t="str">
        <f t="shared" si="16"/>
        <v/>
      </c>
      <c r="D241" s="25" t="str">
        <f t="shared" si="17"/>
        <v/>
      </c>
      <c r="E241" s="24"/>
      <c r="F241" s="24"/>
      <c r="G241" s="24"/>
      <c r="I241" s="43">
        <f t="shared" si="15"/>
        <v>0</v>
      </c>
    </row>
    <row r="242" spans="2:9" ht="18" x14ac:dyDescent="0.3">
      <c r="B242" s="50"/>
      <c r="C242" s="25" t="str">
        <f t="shared" si="16"/>
        <v/>
      </c>
      <c r="D242" s="25" t="str">
        <f t="shared" si="17"/>
        <v/>
      </c>
      <c r="E242" s="24"/>
      <c r="F242" s="24"/>
      <c r="G242" s="24"/>
      <c r="I242" s="43">
        <f t="shared" si="15"/>
        <v>0</v>
      </c>
    </row>
    <row r="243" spans="2:9" ht="18" x14ac:dyDescent="0.3">
      <c r="B243" s="50"/>
      <c r="C243" s="25" t="str">
        <f t="shared" si="16"/>
        <v/>
      </c>
      <c r="D243" s="25" t="str">
        <f t="shared" si="17"/>
        <v/>
      </c>
      <c r="E243" s="24"/>
      <c r="F243" s="24"/>
      <c r="G243" s="24"/>
      <c r="I243" s="43">
        <f t="shared" si="15"/>
        <v>0</v>
      </c>
    </row>
    <row r="244" spans="2:9" ht="18" x14ac:dyDescent="0.3">
      <c r="B244" s="50"/>
      <c r="C244" s="25" t="str">
        <f t="shared" si="16"/>
        <v/>
      </c>
      <c r="D244" s="25" t="str">
        <f t="shared" si="17"/>
        <v/>
      </c>
      <c r="E244" s="24"/>
      <c r="F244" s="24"/>
      <c r="G244" s="24"/>
      <c r="I244" s="43">
        <f t="shared" si="15"/>
        <v>0</v>
      </c>
    </row>
    <row r="245" spans="2:9" ht="18" x14ac:dyDescent="0.3">
      <c r="B245" s="50"/>
      <c r="C245" s="25" t="str">
        <f t="shared" si="16"/>
        <v/>
      </c>
      <c r="D245" s="25" t="str">
        <f t="shared" si="17"/>
        <v/>
      </c>
      <c r="E245" s="24"/>
      <c r="F245" s="24"/>
      <c r="G245" s="24"/>
      <c r="I245" s="43">
        <f t="shared" si="15"/>
        <v>0</v>
      </c>
    </row>
    <row r="246" spans="2:9" ht="18" x14ac:dyDescent="0.3">
      <c r="B246" s="50"/>
      <c r="C246" s="25" t="str">
        <f t="shared" si="16"/>
        <v/>
      </c>
      <c r="D246" s="25" t="str">
        <f t="shared" si="17"/>
        <v/>
      </c>
      <c r="E246" s="24"/>
      <c r="F246" s="24"/>
      <c r="G246" s="24"/>
      <c r="I246" s="43">
        <f t="shared" si="15"/>
        <v>0</v>
      </c>
    </row>
    <row r="247" spans="2:9" ht="18" x14ac:dyDescent="0.3">
      <c r="B247" s="50"/>
      <c r="C247" s="25" t="str">
        <f t="shared" si="16"/>
        <v/>
      </c>
      <c r="D247" s="25" t="str">
        <f t="shared" si="17"/>
        <v/>
      </c>
      <c r="E247" s="24"/>
      <c r="F247" s="24"/>
      <c r="G247" s="24"/>
      <c r="I247" s="43">
        <f t="shared" si="15"/>
        <v>0</v>
      </c>
    </row>
    <row r="248" spans="2:9" ht="18" x14ac:dyDescent="0.3">
      <c r="B248" s="50"/>
      <c r="C248" s="25" t="str">
        <f t="shared" si="16"/>
        <v/>
      </c>
      <c r="D248" s="25" t="str">
        <f t="shared" si="17"/>
        <v/>
      </c>
      <c r="E248" s="24"/>
      <c r="F248" s="24"/>
      <c r="G248" s="24"/>
      <c r="I248" s="43">
        <f t="shared" si="15"/>
        <v>0</v>
      </c>
    </row>
    <row r="249" spans="2:9" ht="18" x14ac:dyDescent="0.3">
      <c r="B249" s="50"/>
      <c r="C249" s="25" t="str">
        <f t="shared" si="16"/>
        <v/>
      </c>
      <c r="D249" s="25" t="str">
        <f t="shared" si="17"/>
        <v/>
      </c>
      <c r="E249" s="24"/>
      <c r="F249" s="24"/>
      <c r="G249" s="24"/>
      <c r="I249" s="43">
        <f t="shared" si="15"/>
        <v>0</v>
      </c>
    </row>
    <row r="250" spans="2:9" ht="18" x14ac:dyDescent="0.3">
      <c r="B250" s="50"/>
      <c r="C250" s="25" t="str">
        <f t="shared" si="16"/>
        <v/>
      </c>
      <c r="D250" s="25" t="str">
        <f t="shared" si="17"/>
        <v/>
      </c>
      <c r="E250" s="24"/>
      <c r="F250" s="24"/>
      <c r="G250" s="24"/>
      <c r="I250" s="43">
        <f t="shared" si="15"/>
        <v>0</v>
      </c>
    </row>
    <row r="251" spans="2:9" ht="18" x14ac:dyDescent="0.3">
      <c r="B251" s="50"/>
      <c r="C251" s="25" t="str">
        <f t="shared" si="16"/>
        <v/>
      </c>
      <c r="D251" s="25" t="str">
        <f t="shared" si="17"/>
        <v/>
      </c>
      <c r="E251" s="24"/>
      <c r="F251" s="24"/>
      <c r="G251" s="24"/>
      <c r="I251" s="43">
        <f t="shared" si="15"/>
        <v>0</v>
      </c>
    </row>
    <row r="252" spans="2:9" ht="18" x14ac:dyDescent="0.3">
      <c r="B252" s="50"/>
      <c r="C252" s="25" t="str">
        <f t="shared" si="16"/>
        <v/>
      </c>
      <c r="D252" s="25" t="str">
        <f t="shared" si="17"/>
        <v/>
      </c>
      <c r="E252" s="24"/>
      <c r="F252" s="24"/>
      <c r="G252" s="24"/>
      <c r="I252" s="43">
        <f t="shared" si="15"/>
        <v>0</v>
      </c>
    </row>
    <row r="253" spans="2:9" ht="18" x14ac:dyDescent="0.3">
      <c r="B253" s="50"/>
      <c r="C253" s="25" t="str">
        <f t="shared" si="16"/>
        <v/>
      </c>
      <c r="D253" s="25" t="str">
        <f t="shared" si="17"/>
        <v/>
      </c>
      <c r="E253" s="24"/>
      <c r="F253" s="24"/>
      <c r="G253" s="24"/>
      <c r="I253" s="43">
        <f t="shared" si="15"/>
        <v>0</v>
      </c>
    </row>
    <row r="254" spans="2:9" ht="18" x14ac:dyDescent="0.3">
      <c r="B254" s="50"/>
      <c r="C254" s="25" t="str">
        <f t="shared" si="16"/>
        <v/>
      </c>
      <c r="D254" s="25" t="str">
        <f t="shared" si="17"/>
        <v/>
      </c>
      <c r="E254" s="24"/>
      <c r="F254" s="24"/>
      <c r="G254" s="24"/>
      <c r="I254" s="43">
        <f t="shared" si="15"/>
        <v>0</v>
      </c>
    </row>
    <row r="255" spans="2:9" ht="18" x14ac:dyDescent="0.3">
      <c r="B255" s="50"/>
      <c r="C255" s="25" t="str">
        <f t="shared" si="16"/>
        <v/>
      </c>
      <c r="D255" s="25" t="str">
        <f t="shared" si="17"/>
        <v/>
      </c>
      <c r="E255" s="24"/>
      <c r="F255" s="24"/>
      <c r="G255" s="24"/>
      <c r="I255" s="43">
        <f t="shared" si="15"/>
        <v>0</v>
      </c>
    </row>
    <row r="256" spans="2:9" ht="18" x14ac:dyDescent="0.3">
      <c r="B256" s="50"/>
      <c r="C256" s="25" t="str">
        <f t="shared" si="16"/>
        <v/>
      </c>
      <c r="D256" s="25" t="str">
        <f t="shared" si="17"/>
        <v/>
      </c>
      <c r="E256" s="24"/>
      <c r="F256" s="24"/>
      <c r="G256" s="24"/>
      <c r="I256" s="43">
        <f t="shared" si="15"/>
        <v>0</v>
      </c>
    </row>
    <row r="257" spans="2:9" ht="18" x14ac:dyDescent="0.3">
      <c r="B257" s="50"/>
      <c r="C257" s="25" t="str">
        <f t="shared" si="16"/>
        <v/>
      </c>
      <c r="D257" s="25" t="str">
        <f t="shared" si="17"/>
        <v/>
      </c>
      <c r="E257" s="24"/>
      <c r="F257" s="24"/>
      <c r="G257" s="24"/>
      <c r="I257" s="43">
        <f t="shared" si="15"/>
        <v>0</v>
      </c>
    </row>
    <row r="258" spans="2:9" ht="18" x14ac:dyDescent="0.3">
      <c r="B258" s="50"/>
      <c r="C258" s="25" t="str">
        <f t="shared" si="16"/>
        <v/>
      </c>
      <c r="D258" s="25" t="str">
        <f t="shared" si="17"/>
        <v/>
      </c>
      <c r="E258" s="24"/>
      <c r="F258" s="24"/>
      <c r="G258" s="24"/>
      <c r="I258" s="43">
        <f t="shared" ref="I258:I321" si="18">IF(MOD(H258,1)&gt;=0.75,1,IF(MOD(H258,1)&gt;=0.25,0.5,0))+INT(H258)</f>
        <v>0</v>
      </c>
    </row>
    <row r="259" spans="2:9" ht="18" x14ac:dyDescent="0.3">
      <c r="B259" s="50"/>
      <c r="C259" s="25" t="str">
        <f t="shared" si="16"/>
        <v/>
      </c>
      <c r="D259" s="25" t="str">
        <f t="shared" si="17"/>
        <v/>
      </c>
      <c r="E259" s="24"/>
      <c r="F259" s="24"/>
      <c r="G259" s="24"/>
      <c r="I259" s="43">
        <f t="shared" si="18"/>
        <v>0</v>
      </c>
    </row>
    <row r="260" spans="2:9" ht="18" x14ac:dyDescent="0.3">
      <c r="B260" s="50"/>
      <c r="C260" s="25" t="str">
        <f t="shared" si="16"/>
        <v/>
      </c>
      <c r="D260" s="25" t="str">
        <f t="shared" si="17"/>
        <v/>
      </c>
      <c r="E260" s="24"/>
      <c r="F260" s="24"/>
      <c r="G260" s="24"/>
      <c r="I260" s="43">
        <f t="shared" si="18"/>
        <v>0</v>
      </c>
    </row>
    <row r="261" spans="2:9" ht="18" x14ac:dyDescent="0.3">
      <c r="B261" s="50"/>
      <c r="C261" s="25" t="str">
        <f t="shared" si="16"/>
        <v/>
      </c>
      <c r="D261" s="25" t="str">
        <f t="shared" si="17"/>
        <v/>
      </c>
      <c r="E261" s="24"/>
      <c r="F261" s="24"/>
      <c r="G261" s="24"/>
      <c r="I261" s="43">
        <f t="shared" si="18"/>
        <v>0</v>
      </c>
    </row>
    <row r="262" spans="2:9" ht="18" x14ac:dyDescent="0.3">
      <c r="B262" s="50"/>
      <c r="C262" s="25" t="str">
        <f t="shared" si="16"/>
        <v/>
      </c>
      <c r="D262" s="25" t="str">
        <f t="shared" si="17"/>
        <v/>
      </c>
      <c r="E262" s="24"/>
      <c r="F262" s="24"/>
      <c r="G262" s="24"/>
      <c r="I262" s="43">
        <f t="shared" si="18"/>
        <v>0</v>
      </c>
    </row>
    <row r="263" spans="2:9" ht="18" x14ac:dyDescent="0.3">
      <c r="B263" s="50"/>
      <c r="C263" s="25" t="str">
        <f t="shared" si="16"/>
        <v/>
      </c>
      <c r="D263" s="25" t="str">
        <f t="shared" si="17"/>
        <v/>
      </c>
      <c r="E263" s="24"/>
      <c r="F263" s="24"/>
      <c r="G263" s="24"/>
      <c r="I263" s="43">
        <f t="shared" si="18"/>
        <v>0</v>
      </c>
    </row>
    <row r="264" spans="2:9" ht="18" x14ac:dyDescent="0.3">
      <c r="B264" s="50"/>
      <c r="C264" s="25" t="str">
        <f t="shared" si="16"/>
        <v/>
      </c>
      <c r="D264" s="25" t="str">
        <f t="shared" si="17"/>
        <v/>
      </c>
      <c r="E264" s="24"/>
      <c r="F264" s="24"/>
      <c r="G264" s="24"/>
      <c r="I264" s="43">
        <f t="shared" si="18"/>
        <v>0</v>
      </c>
    </row>
    <row r="265" spans="2:9" ht="18" x14ac:dyDescent="0.3">
      <c r="B265" s="50"/>
      <c r="C265" s="25" t="str">
        <f t="shared" si="16"/>
        <v/>
      </c>
      <c r="D265" s="25" t="str">
        <f t="shared" si="17"/>
        <v/>
      </c>
      <c r="E265" s="24"/>
      <c r="F265" s="24"/>
      <c r="G265" s="24"/>
      <c r="I265" s="43">
        <f t="shared" si="18"/>
        <v>0</v>
      </c>
    </row>
    <row r="266" spans="2:9" ht="18" x14ac:dyDescent="0.3">
      <c r="B266" s="50"/>
      <c r="C266" s="25" t="str">
        <f t="shared" si="16"/>
        <v/>
      </c>
      <c r="D266" s="25" t="str">
        <f t="shared" si="17"/>
        <v/>
      </c>
      <c r="E266" s="24"/>
      <c r="F266" s="24"/>
      <c r="G266" s="24"/>
      <c r="I266" s="43">
        <f t="shared" si="18"/>
        <v>0</v>
      </c>
    </row>
    <row r="267" spans="2:9" ht="18" x14ac:dyDescent="0.3">
      <c r="B267" s="50"/>
      <c r="C267" s="25" t="str">
        <f t="shared" si="16"/>
        <v/>
      </c>
      <c r="D267" s="25" t="str">
        <f t="shared" si="17"/>
        <v/>
      </c>
      <c r="E267" s="24"/>
      <c r="F267" s="24"/>
      <c r="G267" s="24"/>
      <c r="I267" s="43">
        <f t="shared" si="18"/>
        <v>0</v>
      </c>
    </row>
    <row r="268" spans="2:9" ht="18" x14ac:dyDescent="0.3">
      <c r="B268" s="50"/>
      <c r="C268" s="25" t="str">
        <f t="shared" si="16"/>
        <v/>
      </c>
      <c r="D268" s="25" t="str">
        <f t="shared" si="17"/>
        <v/>
      </c>
      <c r="E268" s="24"/>
      <c r="F268" s="24"/>
      <c r="G268" s="24"/>
      <c r="I268" s="43">
        <f t="shared" si="18"/>
        <v>0</v>
      </c>
    </row>
    <row r="269" spans="2:9" ht="18" x14ac:dyDescent="0.3">
      <c r="B269" s="50"/>
      <c r="C269" s="25" t="str">
        <f t="shared" si="16"/>
        <v/>
      </c>
      <c r="D269" s="25" t="str">
        <f t="shared" si="17"/>
        <v/>
      </c>
      <c r="E269" s="24"/>
      <c r="F269" s="24"/>
      <c r="G269" s="24"/>
      <c r="I269" s="43">
        <f t="shared" si="18"/>
        <v>0</v>
      </c>
    </row>
    <row r="270" spans="2:9" ht="18" x14ac:dyDescent="0.3">
      <c r="B270" s="50"/>
      <c r="C270" s="25" t="str">
        <f t="shared" si="16"/>
        <v/>
      </c>
      <c r="D270" s="25" t="str">
        <f t="shared" si="17"/>
        <v/>
      </c>
      <c r="E270" s="24"/>
      <c r="F270" s="24"/>
      <c r="G270" s="24"/>
      <c r="I270" s="43">
        <f t="shared" si="18"/>
        <v>0</v>
      </c>
    </row>
    <row r="271" spans="2:9" ht="18" x14ac:dyDescent="0.3">
      <c r="B271" s="50"/>
      <c r="C271" s="25" t="str">
        <f t="shared" si="16"/>
        <v/>
      </c>
      <c r="D271" s="25" t="str">
        <f t="shared" si="17"/>
        <v/>
      </c>
      <c r="E271" s="24"/>
      <c r="F271" s="24"/>
      <c r="G271" s="24"/>
      <c r="I271" s="43">
        <f t="shared" si="18"/>
        <v>0</v>
      </c>
    </row>
    <row r="272" spans="2:9" ht="18" x14ac:dyDescent="0.3">
      <c r="B272" s="50"/>
      <c r="C272" s="25" t="str">
        <f t="shared" si="16"/>
        <v/>
      </c>
      <c r="D272" s="25" t="str">
        <f t="shared" si="17"/>
        <v/>
      </c>
      <c r="E272" s="24"/>
      <c r="F272" s="24"/>
      <c r="G272" s="24"/>
      <c r="I272" s="43">
        <f t="shared" si="18"/>
        <v>0</v>
      </c>
    </row>
    <row r="273" spans="2:9" ht="18" x14ac:dyDescent="0.3">
      <c r="B273" s="50"/>
      <c r="C273" s="25" t="str">
        <f t="shared" si="16"/>
        <v/>
      </c>
      <c r="D273" s="25" t="str">
        <f t="shared" si="17"/>
        <v/>
      </c>
      <c r="E273" s="24"/>
      <c r="F273" s="24"/>
      <c r="G273" s="24"/>
      <c r="I273" s="43">
        <f t="shared" si="18"/>
        <v>0</v>
      </c>
    </row>
    <row r="274" spans="2:9" ht="18" x14ac:dyDescent="0.3">
      <c r="B274" s="50"/>
      <c r="C274" s="25" t="str">
        <f t="shared" si="16"/>
        <v/>
      </c>
      <c r="D274" s="25" t="str">
        <f t="shared" si="17"/>
        <v/>
      </c>
      <c r="E274" s="24"/>
      <c r="F274" s="24"/>
      <c r="G274" s="24"/>
      <c r="I274" s="43">
        <f t="shared" si="18"/>
        <v>0</v>
      </c>
    </row>
    <row r="275" spans="2:9" ht="18" x14ac:dyDescent="0.3">
      <c r="B275" s="50"/>
      <c r="C275" s="25" t="str">
        <f t="shared" si="16"/>
        <v/>
      </c>
      <c r="D275" s="25" t="str">
        <f t="shared" si="17"/>
        <v/>
      </c>
      <c r="E275" s="24"/>
      <c r="F275" s="24"/>
      <c r="G275" s="24"/>
      <c r="I275" s="43">
        <f t="shared" si="18"/>
        <v>0</v>
      </c>
    </row>
    <row r="276" spans="2:9" ht="18" x14ac:dyDescent="0.3">
      <c r="B276" s="50"/>
      <c r="C276" s="25" t="str">
        <f t="shared" si="16"/>
        <v/>
      </c>
      <c r="D276" s="25" t="str">
        <f t="shared" si="17"/>
        <v/>
      </c>
      <c r="E276" s="24"/>
      <c r="F276" s="24"/>
      <c r="G276" s="24"/>
      <c r="I276" s="43">
        <f t="shared" si="18"/>
        <v>0</v>
      </c>
    </row>
    <row r="277" spans="2:9" ht="18" x14ac:dyDescent="0.3">
      <c r="B277" s="50"/>
      <c r="C277" s="25" t="str">
        <f t="shared" si="16"/>
        <v/>
      </c>
      <c r="D277" s="25" t="str">
        <f t="shared" si="17"/>
        <v/>
      </c>
      <c r="E277" s="24"/>
      <c r="F277" s="24"/>
      <c r="G277" s="24"/>
      <c r="I277" s="43">
        <f t="shared" si="18"/>
        <v>0</v>
      </c>
    </row>
    <row r="278" spans="2:9" ht="18" x14ac:dyDescent="0.3">
      <c r="B278" s="50"/>
      <c r="C278" s="25" t="str">
        <f t="shared" si="16"/>
        <v/>
      </c>
      <c r="D278" s="25" t="str">
        <f t="shared" si="17"/>
        <v/>
      </c>
      <c r="E278" s="24"/>
      <c r="F278" s="24"/>
      <c r="G278" s="24"/>
      <c r="I278" s="43">
        <f t="shared" si="18"/>
        <v>0</v>
      </c>
    </row>
    <row r="279" spans="2:9" ht="18" x14ac:dyDescent="0.3">
      <c r="B279" s="50"/>
      <c r="C279" s="25" t="str">
        <f t="shared" si="16"/>
        <v/>
      </c>
      <c r="D279" s="25" t="str">
        <f t="shared" si="17"/>
        <v/>
      </c>
      <c r="E279" s="24"/>
      <c r="F279" s="24"/>
      <c r="G279" s="24"/>
      <c r="I279" s="43">
        <f t="shared" si="18"/>
        <v>0</v>
      </c>
    </row>
    <row r="280" spans="2:9" ht="18" x14ac:dyDescent="0.3">
      <c r="B280" s="50"/>
      <c r="C280" s="25" t="str">
        <f t="shared" si="16"/>
        <v/>
      </c>
      <c r="D280" s="25" t="str">
        <f t="shared" si="17"/>
        <v/>
      </c>
      <c r="E280" s="24"/>
      <c r="F280" s="24"/>
      <c r="G280" s="24"/>
      <c r="I280" s="43">
        <f t="shared" si="18"/>
        <v>0</v>
      </c>
    </row>
    <row r="281" spans="2:9" ht="18" x14ac:dyDescent="0.3">
      <c r="B281" s="50"/>
      <c r="C281" s="25" t="str">
        <f t="shared" si="16"/>
        <v/>
      </c>
      <c r="D281" s="25" t="str">
        <f t="shared" si="17"/>
        <v/>
      </c>
      <c r="E281" s="24"/>
      <c r="F281" s="24"/>
      <c r="G281" s="24"/>
      <c r="I281" s="43">
        <f t="shared" si="18"/>
        <v>0</v>
      </c>
    </row>
    <row r="282" spans="2:9" ht="18" x14ac:dyDescent="0.3">
      <c r="B282" s="50"/>
      <c r="C282" s="25" t="str">
        <f t="shared" si="16"/>
        <v/>
      </c>
      <c r="D282" s="25" t="str">
        <f t="shared" si="17"/>
        <v/>
      </c>
      <c r="E282" s="24"/>
      <c r="F282" s="24"/>
      <c r="G282" s="24"/>
      <c r="I282" s="43">
        <f t="shared" si="18"/>
        <v>0</v>
      </c>
    </row>
    <row r="283" spans="2:9" ht="18" x14ac:dyDescent="0.3">
      <c r="B283" s="50"/>
      <c r="C283" s="25" t="str">
        <f t="shared" si="16"/>
        <v/>
      </c>
      <c r="D283" s="25" t="str">
        <f t="shared" si="17"/>
        <v/>
      </c>
      <c r="E283" s="24"/>
      <c r="F283" s="24"/>
      <c r="G283" s="24"/>
      <c r="I283" s="43">
        <f t="shared" si="18"/>
        <v>0</v>
      </c>
    </row>
    <row r="284" spans="2:9" x14ac:dyDescent="0.3">
      <c r="B284" s="50"/>
      <c r="I284" s="43">
        <f t="shared" si="18"/>
        <v>0</v>
      </c>
    </row>
    <row r="285" spans="2:9" x14ac:dyDescent="0.3">
      <c r="B285" s="50"/>
      <c r="I285" s="43">
        <f t="shared" si="18"/>
        <v>0</v>
      </c>
    </row>
    <row r="286" spans="2:9" x14ac:dyDescent="0.3">
      <c r="B286" s="50"/>
      <c r="I286" s="43">
        <f t="shared" si="18"/>
        <v>0</v>
      </c>
    </row>
    <row r="287" spans="2:9" x14ac:dyDescent="0.3">
      <c r="B287" s="50"/>
      <c r="I287" s="43">
        <f t="shared" si="18"/>
        <v>0</v>
      </c>
    </row>
    <row r="288" spans="2:9" x14ac:dyDescent="0.3">
      <c r="B288" s="50"/>
      <c r="I288" s="43">
        <f t="shared" si="18"/>
        <v>0</v>
      </c>
    </row>
    <row r="289" spans="2:9" x14ac:dyDescent="0.3">
      <c r="B289" s="50"/>
      <c r="I289" s="43">
        <f t="shared" si="18"/>
        <v>0</v>
      </c>
    </row>
    <row r="290" spans="2:9" x14ac:dyDescent="0.3">
      <c r="B290" s="50"/>
      <c r="I290" s="43">
        <f t="shared" si="18"/>
        <v>0</v>
      </c>
    </row>
    <row r="291" spans="2:9" x14ac:dyDescent="0.3">
      <c r="B291" s="50"/>
      <c r="I291" s="43">
        <f t="shared" si="18"/>
        <v>0</v>
      </c>
    </row>
    <row r="292" spans="2:9" x14ac:dyDescent="0.3">
      <c r="B292" s="50"/>
      <c r="I292" s="43">
        <f t="shared" si="18"/>
        <v>0</v>
      </c>
    </row>
    <row r="293" spans="2:9" x14ac:dyDescent="0.3">
      <c r="B293" s="50"/>
      <c r="I293" s="43">
        <f t="shared" si="18"/>
        <v>0</v>
      </c>
    </row>
    <row r="294" spans="2:9" x14ac:dyDescent="0.3">
      <c r="B294" s="50"/>
      <c r="I294" s="43">
        <f t="shared" si="18"/>
        <v>0</v>
      </c>
    </row>
    <row r="295" spans="2:9" x14ac:dyDescent="0.3">
      <c r="B295" s="50"/>
      <c r="I295" s="43">
        <f t="shared" si="18"/>
        <v>0</v>
      </c>
    </row>
    <row r="296" spans="2:9" x14ac:dyDescent="0.3">
      <c r="B296" s="50"/>
      <c r="I296" s="43">
        <f t="shared" si="18"/>
        <v>0</v>
      </c>
    </row>
    <row r="297" spans="2:9" x14ac:dyDescent="0.3">
      <c r="B297" s="50"/>
      <c r="I297" s="43">
        <f t="shared" si="18"/>
        <v>0</v>
      </c>
    </row>
    <row r="298" spans="2:9" x14ac:dyDescent="0.3">
      <c r="B298" s="50"/>
      <c r="I298" s="43">
        <f t="shared" si="18"/>
        <v>0</v>
      </c>
    </row>
    <row r="299" spans="2:9" x14ac:dyDescent="0.3">
      <c r="B299" s="50"/>
      <c r="I299" s="43">
        <f t="shared" si="18"/>
        <v>0</v>
      </c>
    </row>
    <row r="300" spans="2:9" x14ac:dyDescent="0.3">
      <c r="B300" s="50"/>
      <c r="I300" s="43">
        <f t="shared" si="18"/>
        <v>0</v>
      </c>
    </row>
    <row r="301" spans="2:9" x14ac:dyDescent="0.3">
      <c r="B301" s="50"/>
      <c r="I301" s="43">
        <f t="shared" si="18"/>
        <v>0</v>
      </c>
    </row>
    <row r="302" spans="2:9" x14ac:dyDescent="0.3">
      <c r="B302" s="50"/>
      <c r="I302" s="43">
        <f t="shared" si="18"/>
        <v>0</v>
      </c>
    </row>
    <row r="303" spans="2:9" x14ac:dyDescent="0.3">
      <c r="B303" s="50"/>
      <c r="I303" s="43">
        <f t="shared" si="18"/>
        <v>0</v>
      </c>
    </row>
    <row r="304" spans="2:9" x14ac:dyDescent="0.3">
      <c r="B304" s="50"/>
      <c r="I304" s="43">
        <f t="shared" si="18"/>
        <v>0</v>
      </c>
    </row>
    <row r="305" spans="2:9" x14ac:dyDescent="0.3">
      <c r="B305" s="50"/>
      <c r="I305" s="43">
        <f t="shared" si="18"/>
        <v>0</v>
      </c>
    </row>
    <row r="306" spans="2:9" x14ac:dyDescent="0.3">
      <c r="B306" s="50"/>
      <c r="I306" s="43">
        <f t="shared" si="18"/>
        <v>0</v>
      </c>
    </row>
    <row r="307" spans="2:9" x14ac:dyDescent="0.3">
      <c r="B307" s="50"/>
      <c r="I307" s="43">
        <f t="shared" si="18"/>
        <v>0</v>
      </c>
    </row>
    <row r="308" spans="2:9" x14ac:dyDescent="0.3">
      <c r="B308" s="50"/>
      <c r="I308" s="43">
        <f t="shared" si="18"/>
        <v>0</v>
      </c>
    </row>
    <row r="309" spans="2:9" x14ac:dyDescent="0.3">
      <c r="B309" s="50"/>
      <c r="I309" s="43">
        <f t="shared" si="18"/>
        <v>0</v>
      </c>
    </row>
    <row r="310" spans="2:9" x14ac:dyDescent="0.3">
      <c r="B310" s="50"/>
      <c r="I310" s="43">
        <f t="shared" si="18"/>
        <v>0</v>
      </c>
    </row>
    <row r="311" spans="2:9" x14ac:dyDescent="0.3">
      <c r="B311" s="50"/>
      <c r="I311" s="43">
        <f t="shared" si="18"/>
        <v>0</v>
      </c>
    </row>
    <row r="312" spans="2:9" x14ac:dyDescent="0.3">
      <c r="B312" s="50"/>
      <c r="I312" s="43">
        <f t="shared" si="18"/>
        <v>0</v>
      </c>
    </row>
    <row r="313" spans="2:9" x14ac:dyDescent="0.3">
      <c r="B313" s="50"/>
      <c r="I313" s="43">
        <f t="shared" si="18"/>
        <v>0</v>
      </c>
    </row>
    <row r="314" spans="2:9" x14ac:dyDescent="0.3">
      <c r="B314" s="50"/>
      <c r="I314" s="43">
        <f t="shared" si="18"/>
        <v>0</v>
      </c>
    </row>
    <row r="315" spans="2:9" x14ac:dyDescent="0.3">
      <c r="B315" s="50"/>
      <c r="I315" s="43">
        <f t="shared" si="18"/>
        <v>0</v>
      </c>
    </row>
    <row r="316" spans="2:9" x14ac:dyDescent="0.3">
      <c r="B316" s="50"/>
      <c r="I316" s="43">
        <f t="shared" si="18"/>
        <v>0</v>
      </c>
    </row>
    <row r="317" spans="2:9" x14ac:dyDescent="0.3">
      <c r="B317" s="50"/>
      <c r="I317" s="43">
        <f t="shared" si="18"/>
        <v>0</v>
      </c>
    </row>
    <row r="318" spans="2:9" x14ac:dyDescent="0.3">
      <c r="B318" s="50"/>
      <c r="I318" s="43">
        <f t="shared" si="18"/>
        <v>0</v>
      </c>
    </row>
    <row r="319" spans="2:9" x14ac:dyDescent="0.3">
      <c r="B319" s="50"/>
      <c r="I319" s="43">
        <f t="shared" si="18"/>
        <v>0</v>
      </c>
    </row>
    <row r="320" spans="2:9" x14ac:dyDescent="0.3">
      <c r="B320" s="50"/>
      <c r="I320" s="43">
        <f t="shared" si="18"/>
        <v>0</v>
      </c>
    </row>
    <row r="321" spans="2:9" x14ac:dyDescent="0.3">
      <c r="B321" s="50"/>
      <c r="I321" s="43">
        <f t="shared" si="18"/>
        <v>0</v>
      </c>
    </row>
    <row r="322" spans="2:9" x14ac:dyDescent="0.3">
      <c r="B322" s="50"/>
      <c r="I322" s="43">
        <f t="shared" ref="I322:I385" si="19">IF(MOD(H322,1)&gt;=0.75,1,IF(MOD(H322,1)&gt;=0.25,0.5,0))+INT(H322)</f>
        <v>0</v>
      </c>
    </row>
    <row r="323" spans="2:9" x14ac:dyDescent="0.3">
      <c r="B323" s="50"/>
      <c r="I323" s="43">
        <f t="shared" si="19"/>
        <v>0</v>
      </c>
    </row>
    <row r="324" spans="2:9" x14ac:dyDescent="0.3">
      <c r="B324" s="50"/>
      <c r="I324" s="43">
        <f t="shared" si="19"/>
        <v>0</v>
      </c>
    </row>
    <row r="325" spans="2:9" x14ac:dyDescent="0.3">
      <c r="B325" s="50"/>
      <c r="I325" s="43">
        <f t="shared" si="19"/>
        <v>0</v>
      </c>
    </row>
    <row r="326" spans="2:9" x14ac:dyDescent="0.3">
      <c r="B326" s="50"/>
      <c r="I326" s="43">
        <f t="shared" si="19"/>
        <v>0</v>
      </c>
    </row>
    <row r="327" spans="2:9" x14ac:dyDescent="0.3">
      <c r="B327" s="50"/>
      <c r="I327" s="43">
        <f t="shared" si="19"/>
        <v>0</v>
      </c>
    </row>
    <row r="328" spans="2:9" x14ac:dyDescent="0.3">
      <c r="B328" s="50"/>
      <c r="I328" s="43">
        <f t="shared" si="19"/>
        <v>0</v>
      </c>
    </row>
    <row r="329" spans="2:9" x14ac:dyDescent="0.3">
      <c r="B329" s="50"/>
      <c r="I329" s="43">
        <f t="shared" si="19"/>
        <v>0</v>
      </c>
    </row>
    <row r="330" spans="2:9" x14ac:dyDescent="0.3">
      <c r="B330" s="50"/>
      <c r="I330" s="43">
        <f t="shared" si="19"/>
        <v>0</v>
      </c>
    </row>
    <row r="331" spans="2:9" x14ac:dyDescent="0.3">
      <c r="B331" s="50"/>
      <c r="I331" s="43">
        <f t="shared" si="19"/>
        <v>0</v>
      </c>
    </row>
    <row r="332" spans="2:9" x14ac:dyDescent="0.3">
      <c r="B332" s="50"/>
      <c r="I332" s="43">
        <f t="shared" si="19"/>
        <v>0</v>
      </c>
    </row>
    <row r="333" spans="2:9" x14ac:dyDescent="0.3">
      <c r="B333" s="50"/>
      <c r="I333" s="43">
        <f t="shared" si="19"/>
        <v>0</v>
      </c>
    </row>
    <row r="334" spans="2:9" x14ac:dyDescent="0.3">
      <c r="B334" s="50"/>
      <c r="I334" s="43">
        <f t="shared" si="19"/>
        <v>0</v>
      </c>
    </row>
    <row r="335" spans="2:9" x14ac:dyDescent="0.3">
      <c r="B335" s="50"/>
      <c r="I335" s="43">
        <f t="shared" si="19"/>
        <v>0</v>
      </c>
    </row>
    <row r="336" spans="2:9" x14ac:dyDescent="0.3">
      <c r="B336" s="50"/>
      <c r="I336" s="43">
        <f t="shared" si="19"/>
        <v>0</v>
      </c>
    </row>
    <row r="337" spans="2:9" x14ac:dyDescent="0.3">
      <c r="B337" s="50"/>
      <c r="I337" s="43">
        <f t="shared" si="19"/>
        <v>0</v>
      </c>
    </row>
    <row r="338" spans="2:9" x14ac:dyDescent="0.3">
      <c r="B338" s="50"/>
      <c r="I338" s="43">
        <f t="shared" si="19"/>
        <v>0</v>
      </c>
    </row>
    <row r="339" spans="2:9" x14ac:dyDescent="0.3">
      <c r="B339" s="50"/>
      <c r="I339" s="43">
        <f t="shared" si="19"/>
        <v>0</v>
      </c>
    </row>
    <row r="340" spans="2:9" x14ac:dyDescent="0.3">
      <c r="B340" s="50"/>
      <c r="I340" s="43">
        <f t="shared" si="19"/>
        <v>0</v>
      </c>
    </row>
    <row r="341" spans="2:9" x14ac:dyDescent="0.3">
      <c r="B341" s="50"/>
      <c r="I341" s="43">
        <f t="shared" si="19"/>
        <v>0</v>
      </c>
    </row>
    <row r="342" spans="2:9" x14ac:dyDescent="0.3">
      <c r="B342" s="50"/>
      <c r="I342" s="43">
        <f t="shared" si="19"/>
        <v>0</v>
      </c>
    </row>
    <row r="343" spans="2:9" x14ac:dyDescent="0.3">
      <c r="B343" s="50"/>
      <c r="I343" s="43">
        <f t="shared" si="19"/>
        <v>0</v>
      </c>
    </row>
    <row r="344" spans="2:9" x14ac:dyDescent="0.3">
      <c r="B344" s="50"/>
      <c r="I344" s="43">
        <f t="shared" si="19"/>
        <v>0</v>
      </c>
    </row>
    <row r="345" spans="2:9" x14ac:dyDescent="0.3">
      <c r="B345" s="50"/>
      <c r="I345" s="43">
        <f t="shared" si="19"/>
        <v>0</v>
      </c>
    </row>
    <row r="346" spans="2:9" x14ac:dyDescent="0.3">
      <c r="B346" s="50"/>
      <c r="I346" s="43">
        <f t="shared" si="19"/>
        <v>0</v>
      </c>
    </row>
    <row r="347" spans="2:9" x14ac:dyDescent="0.3">
      <c r="B347" s="50"/>
      <c r="I347" s="43">
        <f t="shared" si="19"/>
        <v>0</v>
      </c>
    </row>
    <row r="348" spans="2:9" x14ac:dyDescent="0.3">
      <c r="B348" s="50"/>
      <c r="I348" s="43">
        <f t="shared" si="19"/>
        <v>0</v>
      </c>
    </row>
    <row r="349" spans="2:9" x14ac:dyDescent="0.3">
      <c r="B349" s="50"/>
      <c r="I349" s="43">
        <f t="shared" si="19"/>
        <v>0</v>
      </c>
    </row>
    <row r="350" spans="2:9" x14ac:dyDescent="0.3">
      <c r="B350" s="50"/>
      <c r="I350" s="43">
        <f t="shared" si="19"/>
        <v>0</v>
      </c>
    </row>
    <row r="351" spans="2:9" x14ac:dyDescent="0.3">
      <c r="B351" s="50"/>
      <c r="I351" s="43">
        <f t="shared" si="19"/>
        <v>0</v>
      </c>
    </row>
    <row r="352" spans="2:9" x14ac:dyDescent="0.3">
      <c r="B352" s="50"/>
      <c r="I352" s="43">
        <f t="shared" si="19"/>
        <v>0</v>
      </c>
    </row>
    <row r="353" spans="2:9" x14ac:dyDescent="0.3">
      <c r="B353" s="50"/>
      <c r="I353" s="43">
        <f t="shared" si="19"/>
        <v>0</v>
      </c>
    </row>
    <row r="354" spans="2:9" x14ac:dyDescent="0.3">
      <c r="B354" s="50"/>
      <c r="I354" s="43">
        <f t="shared" si="19"/>
        <v>0</v>
      </c>
    </row>
    <row r="355" spans="2:9" x14ac:dyDescent="0.3">
      <c r="B355" s="50"/>
      <c r="I355" s="43">
        <f t="shared" si="19"/>
        <v>0</v>
      </c>
    </row>
    <row r="356" spans="2:9" x14ac:dyDescent="0.3">
      <c r="B356" s="50"/>
      <c r="I356" s="43">
        <f t="shared" si="19"/>
        <v>0</v>
      </c>
    </row>
    <row r="357" spans="2:9" x14ac:dyDescent="0.3">
      <c r="B357" s="50"/>
      <c r="I357" s="43">
        <f t="shared" si="19"/>
        <v>0</v>
      </c>
    </row>
    <row r="358" spans="2:9" x14ac:dyDescent="0.3">
      <c r="B358" s="50"/>
      <c r="I358" s="43">
        <f t="shared" si="19"/>
        <v>0</v>
      </c>
    </row>
    <row r="359" spans="2:9" x14ac:dyDescent="0.3">
      <c r="B359" s="50"/>
      <c r="I359" s="43">
        <f t="shared" si="19"/>
        <v>0</v>
      </c>
    </row>
    <row r="360" spans="2:9" x14ac:dyDescent="0.3">
      <c r="B360" s="50"/>
      <c r="I360" s="43">
        <f t="shared" si="19"/>
        <v>0</v>
      </c>
    </row>
    <row r="361" spans="2:9" x14ac:dyDescent="0.3">
      <c r="B361" s="50"/>
      <c r="I361" s="43">
        <f t="shared" si="19"/>
        <v>0</v>
      </c>
    </row>
    <row r="362" spans="2:9" x14ac:dyDescent="0.3">
      <c r="B362" s="50"/>
      <c r="I362" s="43">
        <f t="shared" si="19"/>
        <v>0</v>
      </c>
    </row>
    <row r="363" spans="2:9" x14ac:dyDescent="0.3">
      <c r="B363" s="50"/>
      <c r="I363" s="43">
        <f t="shared" si="19"/>
        <v>0</v>
      </c>
    </row>
    <row r="364" spans="2:9" x14ac:dyDescent="0.3">
      <c r="B364" s="50"/>
      <c r="I364" s="43">
        <f t="shared" si="19"/>
        <v>0</v>
      </c>
    </row>
    <row r="365" spans="2:9" x14ac:dyDescent="0.3">
      <c r="B365" s="50"/>
      <c r="I365" s="43">
        <f t="shared" si="19"/>
        <v>0</v>
      </c>
    </row>
    <row r="366" spans="2:9" x14ac:dyDescent="0.3">
      <c r="B366" s="50"/>
      <c r="I366" s="43">
        <f t="shared" si="19"/>
        <v>0</v>
      </c>
    </row>
    <row r="367" spans="2:9" x14ac:dyDescent="0.3">
      <c r="B367" s="50"/>
      <c r="I367" s="43">
        <f t="shared" si="19"/>
        <v>0</v>
      </c>
    </row>
    <row r="368" spans="2:9" x14ac:dyDescent="0.3">
      <c r="B368" s="50"/>
      <c r="I368" s="43">
        <f t="shared" si="19"/>
        <v>0</v>
      </c>
    </row>
    <row r="369" spans="2:9" x14ac:dyDescent="0.3">
      <c r="B369" s="50"/>
      <c r="I369" s="43">
        <f t="shared" si="19"/>
        <v>0</v>
      </c>
    </row>
    <row r="370" spans="2:9" x14ac:dyDescent="0.3">
      <c r="B370" s="50"/>
      <c r="I370" s="43">
        <f t="shared" si="19"/>
        <v>0</v>
      </c>
    </row>
    <row r="371" spans="2:9" x14ac:dyDescent="0.3">
      <c r="B371" s="50"/>
      <c r="I371" s="43">
        <f t="shared" si="19"/>
        <v>0</v>
      </c>
    </row>
    <row r="372" spans="2:9" x14ac:dyDescent="0.3">
      <c r="B372" s="50"/>
      <c r="I372" s="43">
        <f t="shared" si="19"/>
        <v>0</v>
      </c>
    </row>
    <row r="373" spans="2:9" x14ac:dyDescent="0.3">
      <c r="B373" s="50"/>
      <c r="I373" s="43">
        <f t="shared" si="19"/>
        <v>0</v>
      </c>
    </row>
    <row r="374" spans="2:9" x14ac:dyDescent="0.3">
      <c r="B374" s="50"/>
      <c r="I374" s="43">
        <f t="shared" si="19"/>
        <v>0</v>
      </c>
    </row>
    <row r="375" spans="2:9" x14ac:dyDescent="0.3">
      <c r="B375" s="50"/>
      <c r="I375" s="43">
        <f t="shared" si="19"/>
        <v>0</v>
      </c>
    </row>
    <row r="376" spans="2:9" x14ac:dyDescent="0.3">
      <c r="B376" s="50"/>
      <c r="I376" s="43">
        <f t="shared" si="19"/>
        <v>0</v>
      </c>
    </row>
    <row r="377" spans="2:9" x14ac:dyDescent="0.3">
      <c r="B377" s="50"/>
      <c r="I377" s="43">
        <f t="shared" si="19"/>
        <v>0</v>
      </c>
    </row>
    <row r="378" spans="2:9" x14ac:dyDescent="0.3">
      <c r="B378" s="50"/>
      <c r="I378" s="43">
        <f t="shared" si="19"/>
        <v>0</v>
      </c>
    </row>
    <row r="379" spans="2:9" x14ac:dyDescent="0.3">
      <c r="B379" s="50"/>
      <c r="I379" s="43">
        <f t="shared" si="19"/>
        <v>0</v>
      </c>
    </row>
    <row r="380" spans="2:9" x14ac:dyDescent="0.3">
      <c r="B380" s="50"/>
      <c r="I380" s="43">
        <f t="shared" si="19"/>
        <v>0</v>
      </c>
    </row>
    <row r="381" spans="2:9" x14ac:dyDescent="0.3">
      <c r="B381" s="50"/>
      <c r="I381" s="43">
        <f t="shared" si="19"/>
        <v>0</v>
      </c>
    </row>
    <row r="382" spans="2:9" x14ac:dyDescent="0.3">
      <c r="B382" s="50"/>
      <c r="I382" s="43">
        <f t="shared" si="19"/>
        <v>0</v>
      </c>
    </row>
    <row r="383" spans="2:9" x14ac:dyDescent="0.3">
      <c r="B383" s="50"/>
      <c r="I383" s="43">
        <f t="shared" si="19"/>
        <v>0</v>
      </c>
    </row>
    <row r="384" spans="2:9" x14ac:dyDescent="0.3">
      <c r="B384" s="50"/>
      <c r="I384" s="43">
        <f t="shared" si="19"/>
        <v>0</v>
      </c>
    </row>
    <row r="385" spans="2:9" x14ac:dyDescent="0.3">
      <c r="B385" s="50"/>
      <c r="I385" s="43">
        <f t="shared" si="19"/>
        <v>0</v>
      </c>
    </row>
    <row r="386" spans="2:9" x14ac:dyDescent="0.3">
      <c r="B386" s="50"/>
      <c r="I386" s="43">
        <f t="shared" ref="I386:I392" si="20">IF(MOD(H386,1)&gt;=0.75,1,IF(MOD(H386,1)&gt;=0.25,0.5,0))+INT(H386)</f>
        <v>0</v>
      </c>
    </row>
    <row r="387" spans="2:9" x14ac:dyDescent="0.3">
      <c r="B387" s="50"/>
      <c r="I387" s="43">
        <f t="shared" si="20"/>
        <v>0</v>
      </c>
    </row>
    <row r="388" spans="2:9" x14ac:dyDescent="0.3">
      <c r="B388" s="50"/>
      <c r="I388" s="43">
        <f t="shared" si="20"/>
        <v>0</v>
      </c>
    </row>
    <row r="389" spans="2:9" x14ac:dyDescent="0.3">
      <c r="B389" s="50"/>
      <c r="I389" s="43">
        <f t="shared" si="20"/>
        <v>0</v>
      </c>
    </row>
    <row r="390" spans="2:9" x14ac:dyDescent="0.3">
      <c r="B390" s="50"/>
      <c r="I390" s="43">
        <f t="shared" si="20"/>
        <v>0</v>
      </c>
    </row>
    <row r="391" spans="2:9" x14ac:dyDescent="0.3">
      <c r="B391" s="50"/>
      <c r="I391" s="43">
        <f t="shared" si="20"/>
        <v>0</v>
      </c>
    </row>
    <row r="392" spans="2:9" x14ac:dyDescent="0.3">
      <c r="B392" s="50"/>
      <c r="I392" s="43">
        <f t="shared" si="20"/>
        <v>0</v>
      </c>
    </row>
    <row r="826" spans="9:9" x14ac:dyDescent="0.3">
      <c r="I826" s="8">
        <v>6</v>
      </c>
    </row>
    <row r="827" spans="9:9" x14ac:dyDescent="0.3">
      <c r="I827" s="8">
        <v>6</v>
      </c>
    </row>
    <row r="828" spans="9:9" x14ac:dyDescent="0.3">
      <c r="I828" s="8">
        <v>0.83333333333333337</v>
      </c>
    </row>
    <row r="829" spans="9:9" x14ac:dyDescent="0.3">
      <c r="I829" s="8">
        <v>0.83333333333333337</v>
      </c>
    </row>
    <row r="830" spans="9:9" x14ac:dyDescent="0.3">
      <c r="I830" s="8">
        <v>0.83333333333333337</v>
      </c>
    </row>
    <row r="831" spans="9:9" x14ac:dyDescent="0.3">
      <c r="I831" s="8">
        <v>0.83333333333333337</v>
      </c>
    </row>
    <row r="832" spans="9:9" x14ac:dyDescent="0.3">
      <c r="I832" s="8">
        <v>0.83333333333333337</v>
      </c>
    </row>
    <row r="833" spans="9:9" x14ac:dyDescent="0.3">
      <c r="I833" s="8">
        <v>0.83333333333333337</v>
      </c>
    </row>
    <row r="834" spans="9:9" x14ac:dyDescent="0.3">
      <c r="I834" s="8">
        <v>0.83333333333333337</v>
      </c>
    </row>
    <row r="835" spans="9:9" x14ac:dyDescent="0.3">
      <c r="I835" s="8">
        <v>0.83333333333333337</v>
      </c>
    </row>
    <row r="836" spans="9:9" x14ac:dyDescent="0.3">
      <c r="I836" s="8">
        <v>0.83333333333333337</v>
      </c>
    </row>
    <row r="837" spans="9:9" x14ac:dyDescent="0.3">
      <c r="I837" s="8">
        <v>0.83333333333333337</v>
      </c>
    </row>
    <row r="838" spans="9:9" x14ac:dyDescent="0.3">
      <c r="I838" s="8">
        <v>0.83333333333333337</v>
      </c>
    </row>
    <row r="839" spans="9:9" x14ac:dyDescent="0.3">
      <c r="I839" s="8">
        <v>0.83333333333333337</v>
      </c>
    </row>
    <row r="840" spans="9:9" x14ac:dyDescent="0.3">
      <c r="I840" s="8">
        <v>0.83333333333333337</v>
      </c>
    </row>
    <row r="841" spans="9:9" x14ac:dyDescent="0.3">
      <c r="I841" s="8">
        <v>0.83333333333333337</v>
      </c>
    </row>
    <row r="842" spans="9:9" x14ac:dyDescent="0.3">
      <c r="I842" s="8">
        <v>0.83333333333333337</v>
      </c>
    </row>
    <row r="843" spans="9:9" x14ac:dyDescent="0.3">
      <c r="I843" s="8">
        <v>0.83333333333333337</v>
      </c>
    </row>
    <row r="844" spans="9:9" x14ac:dyDescent="0.3">
      <c r="I844" s="8">
        <v>0.83333333333333337</v>
      </c>
    </row>
    <row r="845" spans="9:9" x14ac:dyDescent="0.3">
      <c r="I845" s="8">
        <v>0.83333333333333337</v>
      </c>
    </row>
    <row r="846" spans="9:9" x14ac:dyDescent="0.3">
      <c r="I846" s="8">
        <v>0.83333333333333337</v>
      </c>
    </row>
    <row r="847" spans="9:9" x14ac:dyDescent="0.3">
      <c r="I847" s="8">
        <v>0.83333333333333337</v>
      </c>
    </row>
    <row r="848" spans="9:9" x14ac:dyDescent="0.3">
      <c r="I848" s="8">
        <v>0.83333333333333337</v>
      </c>
    </row>
    <row r="849" spans="9:9" x14ac:dyDescent="0.3">
      <c r="I849" s="8">
        <v>0.83333333333333337</v>
      </c>
    </row>
    <row r="850" spans="9:9" x14ac:dyDescent="0.3">
      <c r="I850" s="8">
        <v>0.83333333333333337</v>
      </c>
    </row>
    <row r="851" spans="9:9" x14ac:dyDescent="0.3">
      <c r="I851" s="8">
        <v>0.83333333333333337</v>
      </c>
    </row>
    <row r="852" spans="9:9" x14ac:dyDescent="0.3">
      <c r="I852" s="8">
        <v>0.83333333333333337</v>
      </c>
    </row>
    <row r="853" spans="9:9" x14ac:dyDescent="0.3">
      <c r="I853" s="8">
        <v>0.83333333333333337</v>
      </c>
    </row>
    <row r="854" spans="9:9" x14ac:dyDescent="0.3">
      <c r="I854" s="8">
        <v>0.83333333333333337</v>
      </c>
    </row>
    <row r="855" spans="9:9" x14ac:dyDescent="0.3">
      <c r="I855" s="8">
        <v>0.83333333333333337</v>
      </c>
    </row>
    <row r="856" spans="9:9" x14ac:dyDescent="0.3">
      <c r="I856" s="8">
        <v>0.83333333333333337</v>
      </c>
    </row>
    <row r="857" spans="9:9" x14ac:dyDescent="0.3">
      <c r="I857" s="8">
        <v>0.83333333333333337</v>
      </c>
    </row>
    <row r="858" spans="9:9" x14ac:dyDescent="0.3">
      <c r="I858" s="8">
        <v>0.83333333333333337</v>
      </c>
    </row>
    <row r="859" spans="9:9" x14ac:dyDescent="0.3">
      <c r="I859" s="8">
        <v>0.83333333333333337</v>
      </c>
    </row>
    <row r="860" spans="9:9" x14ac:dyDescent="0.3">
      <c r="I860" s="8">
        <v>0.83333333333333337</v>
      </c>
    </row>
    <row r="861" spans="9:9" x14ac:dyDescent="0.3">
      <c r="I861" s="8">
        <v>0.83333333333333337</v>
      </c>
    </row>
    <row r="862" spans="9:9" x14ac:dyDescent="0.3">
      <c r="I862" s="8">
        <v>0.83333333333333337</v>
      </c>
    </row>
    <row r="863" spans="9:9" x14ac:dyDescent="0.3">
      <c r="I863" s="8">
        <v>0.83333333333333337</v>
      </c>
    </row>
    <row r="864" spans="9:9" x14ac:dyDescent="0.3">
      <c r="I864" s="8">
        <v>0.83333333333333337</v>
      </c>
    </row>
    <row r="865" spans="9:9" x14ac:dyDescent="0.3">
      <c r="I865" s="8">
        <v>0.83333333333333337</v>
      </c>
    </row>
    <row r="866" spans="9:9" x14ac:dyDescent="0.3">
      <c r="I866" s="8">
        <v>0.83333333333333337</v>
      </c>
    </row>
    <row r="867" spans="9:9" x14ac:dyDescent="0.3">
      <c r="I867" s="8">
        <v>0.83333333333333337</v>
      </c>
    </row>
    <row r="868" spans="9:9" x14ac:dyDescent="0.3">
      <c r="I868" s="8">
        <v>0.83333333333333337</v>
      </c>
    </row>
    <row r="869" spans="9:9" x14ac:dyDescent="0.3">
      <c r="I869" s="8">
        <v>0.83333333333333337</v>
      </c>
    </row>
    <row r="870" spans="9:9" x14ac:dyDescent="0.3">
      <c r="I870" s="8">
        <v>0.83333333333333337</v>
      </c>
    </row>
    <row r="871" spans="9:9" x14ac:dyDescent="0.3">
      <c r="I871" s="8">
        <v>0.83333333333333337</v>
      </c>
    </row>
    <row r="872" spans="9:9" x14ac:dyDescent="0.3">
      <c r="I872" s="8">
        <v>0.83333333333333337</v>
      </c>
    </row>
    <row r="873" spans="9:9" x14ac:dyDescent="0.3">
      <c r="I873" s="8">
        <v>0.83333333333333337</v>
      </c>
    </row>
    <row r="874" spans="9:9" x14ac:dyDescent="0.3">
      <c r="I874" s="8">
        <v>0.83333333333333337</v>
      </c>
    </row>
    <row r="875" spans="9:9" x14ac:dyDescent="0.3">
      <c r="I875" s="8">
        <v>0.83333333333333337</v>
      </c>
    </row>
    <row r="876" spans="9:9" x14ac:dyDescent="0.3">
      <c r="I876" s="8">
        <v>0.83333333333333337</v>
      </c>
    </row>
    <row r="877" spans="9:9" x14ac:dyDescent="0.3">
      <c r="I877" s="8">
        <v>0.83333333333333337</v>
      </c>
    </row>
    <row r="878" spans="9:9" x14ac:dyDescent="0.3">
      <c r="I878" s="8">
        <v>0.83333333333333337</v>
      </c>
    </row>
    <row r="879" spans="9:9" x14ac:dyDescent="0.3">
      <c r="I879" s="8">
        <v>0.83333333333333337</v>
      </c>
    </row>
    <row r="880" spans="9:9" x14ac:dyDescent="0.3">
      <c r="I880" s="8">
        <v>0.83333333333333337</v>
      </c>
    </row>
    <row r="881" spans="9:9" x14ac:dyDescent="0.3">
      <c r="I881" s="8">
        <v>0.83333333333333337</v>
      </c>
    </row>
    <row r="882" spans="9:9" x14ac:dyDescent="0.3">
      <c r="I882" s="8">
        <v>0.83333333333333337</v>
      </c>
    </row>
    <row r="883" spans="9:9" x14ac:dyDescent="0.3">
      <c r="I883" s="8">
        <v>0.83333333333333337</v>
      </c>
    </row>
    <row r="884" spans="9:9" x14ac:dyDescent="0.3">
      <c r="I884" s="8">
        <v>0.83333333333333337</v>
      </c>
    </row>
    <row r="885" spans="9:9" x14ac:dyDescent="0.3">
      <c r="I885" s="8">
        <v>0.83333333333333337</v>
      </c>
    </row>
    <row r="886" spans="9:9" x14ac:dyDescent="0.3">
      <c r="I886" s="8">
        <v>0.83333333333333337</v>
      </c>
    </row>
    <row r="887" spans="9:9" x14ac:dyDescent="0.3">
      <c r="I887" s="8">
        <v>0.83333333333333337</v>
      </c>
    </row>
    <row r="888" spans="9:9" x14ac:dyDescent="0.3">
      <c r="I888" s="8">
        <v>0.83333333333333337</v>
      </c>
    </row>
    <row r="889" spans="9:9" x14ac:dyDescent="0.3">
      <c r="I889" s="8">
        <v>0.83333333333333337</v>
      </c>
    </row>
    <row r="890" spans="9:9" x14ac:dyDescent="0.3">
      <c r="I890" s="8">
        <v>0.83333333333333337</v>
      </c>
    </row>
    <row r="891" spans="9:9" x14ac:dyDescent="0.3">
      <c r="I891" s="8">
        <v>0.83333333333333337</v>
      </c>
    </row>
    <row r="892" spans="9:9" x14ac:dyDescent="0.3">
      <c r="I892" s="8">
        <v>0.83333333333333337</v>
      </c>
    </row>
    <row r="893" spans="9:9" x14ac:dyDescent="0.3">
      <c r="I893" s="8">
        <v>0.83333333333333337</v>
      </c>
    </row>
    <row r="894" spans="9:9" x14ac:dyDescent="0.3">
      <c r="I894" s="8">
        <v>0.83333333333333337</v>
      </c>
    </row>
    <row r="895" spans="9:9" x14ac:dyDescent="0.3">
      <c r="I895" s="8">
        <v>0.83333333333333337</v>
      </c>
    </row>
    <row r="896" spans="9:9" x14ac:dyDescent="0.3">
      <c r="I896" s="8">
        <v>0.83333333333333337</v>
      </c>
    </row>
    <row r="897" spans="9:9" x14ac:dyDescent="0.3">
      <c r="I897" s="8">
        <v>0.83333333333333337</v>
      </c>
    </row>
    <row r="898" spans="9:9" x14ac:dyDescent="0.3">
      <c r="I898" s="8">
        <v>0.83333333333333337</v>
      </c>
    </row>
    <row r="899" spans="9:9" x14ac:dyDescent="0.3">
      <c r="I899" s="8">
        <v>0.83333333333333337</v>
      </c>
    </row>
    <row r="900" spans="9:9" x14ac:dyDescent="0.3">
      <c r="I900" s="8">
        <v>0.83333333333333337</v>
      </c>
    </row>
    <row r="901" spans="9:9" x14ac:dyDescent="0.3">
      <c r="I901" s="8">
        <v>0.83333333333333337</v>
      </c>
    </row>
    <row r="902" spans="9:9" x14ac:dyDescent="0.3">
      <c r="I902" s="8">
        <v>0.83333333333333337</v>
      </c>
    </row>
    <row r="903" spans="9:9" x14ac:dyDescent="0.3">
      <c r="I903" s="8">
        <v>0.83333333333333337</v>
      </c>
    </row>
    <row r="904" spans="9:9" x14ac:dyDescent="0.3">
      <c r="I904" s="8">
        <v>0.83333333333333337</v>
      </c>
    </row>
    <row r="905" spans="9:9" x14ac:dyDescent="0.3">
      <c r="I905" s="8">
        <v>0.83333333333333337</v>
      </c>
    </row>
    <row r="906" spans="9:9" x14ac:dyDescent="0.3">
      <c r="I906" s="8">
        <v>0.83333333333333337</v>
      </c>
    </row>
    <row r="907" spans="9:9" x14ac:dyDescent="0.3">
      <c r="I907" s="8">
        <v>0.83333333333333337</v>
      </c>
    </row>
    <row r="908" spans="9:9" x14ac:dyDescent="0.3">
      <c r="I908" s="8">
        <v>0.83333333333333337</v>
      </c>
    </row>
    <row r="909" spans="9:9" x14ac:dyDescent="0.3">
      <c r="I909" s="8">
        <v>0.83333333333333337</v>
      </c>
    </row>
    <row r="910" spans="9:9" x14ac:dyDescent="0.3">
      <c r="I910" s="8">
        <v>0.83333333333333337</v>
      </c>
    </row>
    <row r="911" spans="9:9" x14ac:dyDescent="0.3">
      <c r="I911" s="8">
        <v>0.83333333333333337</v>
      </c>
    </row>
    <row r="912" spans="9:9" x14ac:dyDescent="0.3">
      <c r="I912" s="8">
        <v>0.83333333333333337</v>
      </c>
    </row>
    <row r="913" spans="9:9" x14ac:dyDescent="0.3">
      <c r="I913" s="8">
        <v>0.83333333333333337</v>
      </c>
    </row>
    <row r="914" spans="9:9" x14ac:dyDescent="0.3">
      <c r="I914" s="8">
        <v>0.83333333333333337</v>
      </c>
    </row>
    <row r="915" spans="9:9" x14ac:dyDescent="0.3">
      <c r="I915" s="8">
        <v>0.83333333333333337</v>
      </c>
    </row>
    <row r="916" spans="9:9" x14ac:dyDescent="0.3">
      <c r="I916" s="8">
        <v>0.83333333333333337</v>
      </c>
    </row>
    <row r="917" spans="9:9" x14ac:dyDescent="0.3">
      <c r="I917" s="8">
        <v>0.83333333333333337</v>
      </c>
    </row>
    <row r="918" spans="9:9" x14ac:dyDescent="0.3">
      <c r="I918" s="8">
        <v>0.83333333333333337</v>
      </c>
    </row>
    <row r="919" spans="9:9" x14ac:dyDescent="0.3">
      <c r="I919" s="8">
        <v>0.83333333333333337</v>
      </c>
    </row>
    <row r="920" spans="9:9" x14ac:dyDescent="0.3">
      <c r="I920" s="8">
        <v>0.83333333333333337</v>
      </c>
    </row>
    <row r="921" spans="9:9" x14ac:dyDescent="0.3">
      <c r="I921" s="8">
        <v>0.83333333333333337</v>
      </c>
    </row>
    <row r="922" spans="9:9" x14ac:dyDescent="0.3">
      <c r="I922" s="8">
        <v>0.83333333333333337</v>
      </c>
    </row>
    <row r="923" spans="9:9" x14ac:dyDescent="0.3">
      <c r="I923" s="8">
        <v>0.83333333333333337</v>
      </c>
    </row>
    <row r="924" spans="9:9" x14ac:dyDescent="0.3">
      <c r="I924" s="8">
        <v>0.83333333333333337</v>
      </c>
    </row>
    <row r="925" spans="9:9" x14ac:dyDescent="0.3">
      <c r="I925" s="8">
        <v>0.83333333333333337</v>
      </c>
    </row>
    <row r="926" spans="9:9" x14ac:dyDescent="0.3">
      <c r="I926" s="8">
        <v>0.83333333333333337</v>
      </c>
    </row>
    <row r="927" spans="9:9" x14ac:dyDescent="0.3">
      <c r="I927" s="8">
        <v>0.83333333333333337</v>
      </c>
    </row>
    <row r="928" spans="9:9" x14ac:dyDescent="0.3">
      <c r="I928" s="8">
        <v>0.83333333333333337</v>
      </c>
    </row>
    <row r="929" spans="9:9" x14ac:dyDescent="0.3">
      <c r="I929" s="8">
        <v>0.83333333333333337</v>
      </c>
    </row>
    <row r="930" spans="9:9" x14ac:dyDescent="0.3">
      <c r="I930" s="8">
        <v>0.83333333333333337</v>
      </c>
    </row>
    <row r="931" spans="9:9" x14ac:dyDescent="0.3">
      <c r="I931" s="8">
        <v>0.83333333333333337</v>
      </c>
    </row>
    <row r="932" spans="9:9" x14ac:dyDescent="0.3">
      <c r="I932" s="8">
        <v>0.83333333333333337</v>
      </c>
    </row>
    <row r="933" spans="9:9" x14ac:dyDescent="0.3">
      <c r="I933" s="8">
        <v>0.83333333333333337</v>
      </c>
    </row>
    <row r="934" spans="9:9" x14ac:dyDescent="0.3">
      <c r="I934" s="8">
        <v>0.83333333333333337</v>
      </c>
    </row>
    <row r="935" spans="9:9" x14ac:dyDescent="0.3">
      <c r="I935" s="8">
        <v>0.83333333333333337</v>
      </c>
    </row>
    <row r="936" spans="9:9" x14ac:dyDescent="0.3">
      <c r="I936" s="8">
        <v>0.83333333333333337</v>
      </c>
    </row>
    <row r="937" spans="9:9" x14ac:dyDescent="0.3">
      <c r="I937" s="8">
        <v>0.83333333333333337</v>
      </c>
    </row>
    <row r="938" spans="9:9" x14ac:dyDescent="0.3">
      <c r="I938" s="8">
        <v>0.83333333333333337</v>
      </c>
    </row>
    <row r="939" spans="9:9" x14ac:dyDescent="0.3">
      <c r="I939" s="8">
        <v>0.83333333333333337</v>
      </c>
    </row>
    <row r="940" spans="9:9" x14ac:dyDescent="0.3">
      <c r="I940" s="8">
        <v>0.83333333333333337</v>
      </c>
    </row>
    <row r="941" spans="9:9" x14ac:dyDescent="0.3">
      <c r="I941" s="8">
        <v>0.83333333333333337</v>
      </c>
    </row>
    <row r="942" spans="9:9" x14ac:dyDescent="0.3">
      <c r="I942" s="8">
        <v>0.83333333333333337</v>
      </c>
    </row>
    <row r="943" spans="9:9" x14ac:dyDescent="0.3">
      <c r="I943" s="8">
        <v>0.83333333333333337</v>
      </c>
    </row>
    <row r="944" spans="9:9" x14ac:dyDescent="0.3">
      <c r="I944" s="8">
        <v>0.83333333333333337</v>
      </c>
    </row>
    <row r="945" spans="9:9" x14ac:dyDescent="0.3">
      <c r="I945" s="8">
        <v>0.83333333333333337</v>
      </c>
    </row>
    <row r="946" spans="9:9" x14ac:dyDescent="0.3">
      <c r="I946" s="8">
        <v>0.83333333333333337</v>
      </c>
    </row>
    <row r="947" spans="9:9" x14ac:dyDescent="0.3">
      <c r="I947" s="8">
        <v>0.83333333333333337</v>
      </c>
    </row>
    <row r="948" spans="9:9" x14ac:dyDescent="0.3">
      <c r="I948" s="8">
        <v>0.83333333333333337</v>
      </c>
    </row>
    <row r="949" spans="9:9" x14ac:dyDescent="0.3">
      <c r="I949" s="8">
        <v>0.83333333333333337</v>
      </c>
    </row>
    <row r="950" spans="9:9" x14ac:dyDescent="0.3">
      <c r="I950" s="8">
        <v>0.83333333333333337</v>
      </c>
    </row>
    <row r="951" spans="9:9" x14ac:dyDescent="0.3">
      <c r="I951" s="8">
        <v>0.83333333333333337</v>
      </c>
    </row>
    <row r="952" spans="9:9" x14ac:dyDescent="0.3">
      <c r="I952" s="8">
        <v>0.83333333333333337</v>
      </c>
    </row>
    <row r="953" spans="9:9" x14ac:dyDescent="0.3">
      <c r="I953" s="8">
        <v>0.83333333333333337</v>
      </c>
    </row>
    <row r="954" spans="9:9" x14ac:dyDescent="0.3">
      <c r="I954" s="8">
        <v>0.83333333333333337</v>
      </c>
    </row>
    <row r="955" spans="9:9" x14ac:dyDescent="0.3">
      <c r="I955" s="8">
        <v>0.83333333333333337</v>
      </c>
    </row>
    <row r="956" spans="9:9" x14ac:dyDescent="0.3">
      <c r="I956" s="8">
        <v>0.83333333333333337</v>
      </c>
    </row>
    <row r="957" spans="9:9" x14ac:dyDescent="0.3">
      <c r="I957" s="8">
        <v>0.83333333333333337</v>
      </c>
    </row>
    <row r="958" spans="9:9" x14ac:dyDescent="0.3">
      <c r="I958" s="8">
        <v>0.83333333333333337</v>
      </c>
    </row>
    <row r="959" spans="9:9" x14ac:dyDescent="0.3">
      <c r="I959" s="8">
        <v>0.83333333333333337</v>
      </c>
    </row>
    <row r="960" spans="9:9" x14ac:dyDescent="0.3">
      <c r="I960" s="8">
        <v>0.83333333333333337</v>
      </c>
    </row>
    <row r="961" spans="9:9" x14ac:dyDescent="0.3">
      <c r="I961" s="8">
        <v>0.83333333333333337</v>
      </c>
    </row>
    <row r="962" spans="9:9" x14ac:dyDescent="0.3">
      <c r="I962" s="8">
        <v>0.83333333333333337</v>
      </c>
    </row>
    <row r="963" spans="9:9" x14ac:dyDescent="0.3">
      <c r="I963" s="8">
        <v>0.83333333333333337</v>
      </c>
    </row>
    <row r="964" spans="9:9" x14ac:dyDescent="0.3">
      <c r="I964" s="8">
        <v>0.83333333333333337</v>
      </c>
    </row>
    <row r="965" spans="9:9" x14ac:dyDescent="0.3">
      <c r="I965" s="8">
        <v>0.83333333333333337</v>
      </c>
    </row>
    <row r="966" spans="9:9" x14ac:dyDescent="0.3">
      <c r="I966" s="8">
        <v>0.83333333333333337</v>
      </c>
    </row>
    <row r="967" spans="9:9" x14ac:dyDescent="0.3">
      <c r="I967" s="8">
        <v>0.83333333333333337</v>
      </c>
    </row>
    <row r="968" spans="9:9" x14ac:dyDescent="0.3">
      <c r="I968" s="8">
        <v>0.83333333333333337</v>
      </c>
    </row>
    <row r="969" spans="9:9" x14ac:dyDescent="0.3">
      <c r="I969" s="8">
        <v>0.83333333333333337</v>
      </c>
    </row>
    <row r="970" spans="9:9" x14ac:dyDescent="0.3">
      <c r="I970" s="8">
        <v>0.83333333333333337</v>
      </c>
    </row>
    <row r="971" spans="9:9" x14ac:dyDescent="0.3">
      <c r="I971" s="8">
        <v>0.83333333333333337</v>
      </c>
    </row>
    <row r="972" spans="9:9" x14ac:dyDescent="0.3">
      <c r="I972" s="8">
        <v>0.83333333333333337</v>
      </c>
    </row>
    <row r="973" spans="9:9" x14ac:dyDescent="0.3">
      <c r="I973" s="8">
        <v>0.83333333333333337</v>
      </c>
    </row>
    <row r="974" spans="9:9" x14ac:dyDescent="0.3">
      <c r="I974" s="8">
        <v>0.83333333333333337</v>
      </c>
    </row>
    <row r="975" spans="9:9" x14ac:dyDescent="0.3">
      <c r="I975" s="8">
        <v>0.83333333333333337</v>
      </c>
    </row>
    <row r="976" spans="9:9" x14ac:dyDescent="0.3">
      <c r="I976" s="8">
        <v>0.83333333333333337</v>
      </c>
    </row>
    <row r="977" spans="9:9" x14ac:dyDescent="0.3">
      <c r="I977" s="8">
        <v>0.83333333333333337</v>
      </c>
    </row>
    <row r="978" spans="9:9" x14ac:dyDescent="0.3">
      <c r="I978" s="8">
        <v>0.83333333333333337</v>
      </c>
    </row>
    <row r="979" spans="9:9" x14ac:dyDescent="0.3">
      <c r="I979" s="8">
        <v>0.83333333333333337</v>
      </c>
    </row>
    <row r="980" spans="9:9" x14ac:dyDescent="0.3">
      <c r="I980" s="8">
        <v>0.83333333333333337</v>
      </c>
    </row>
    <row r="981" spans="9:9" x14ac:dyDescent="0.3">
      <c r="I981" s="8">
        <v>0.83333333333333337</v>
      </c>
    </row>
    <row r="982" spans="9:9" x14ac:dyDescent="0.3">
      <c r="I982" s="8">
        <v>0.83333333333333337</v>
      </c>
    </row>
    <row r="983" spans="9:9" x14ac:dyDescent="0.3">
      <c r="I983" s="8">
        <v>0.83333333333333337</v>
      </c>
    </row>
    <row r="984" spans="9:9" x14ac:dyDescent="0.3">
      <c r="I984" s="8">
        <v>0.83333333333333337</v>
      </c>
    </row>
    <row r="985" spans="9:9" x14ac:dyDescent="0.3">
      <c r="I985" s="8">
        <v>0.83333333333333337</v>
      </c>
    </row>
    <row r="986" spans="9:9" x14ac:dyDescent="0.3">
      <c r="I986" s="8">
        <v>0.83333333333333337</v>
      </c>
    </row>
    <row r="987" spans="9:9" x14ac:dyDescent="0.3">
      <c r="I987" s="8">
        <v>0.83333333333333337</v>
      </c>
    </row>
    <row r="988" spans="9:9" x14ac:dyDescent="0.3">
      <c r="I988" s="8">
        <v>0.83333333333333337</v>
      </c>
    </row>
    <row r="989" spans="9:9" x14ac:dyDescent="0.3">
      <c r="I989" s="8">
        <v>0.83333333333333337</v>
      </c>
    </row>
    <row r="990" spans="9:9" x14ac:dyDescent="0.3">
      <c r="I990" s="8">
        <v>0.83333333333333337</v>
      </c>
    </row>
    <row r="991" spans="9:9" x14ac:dyDescent="0.3">
      <c r="I991" s="8">
        <v>0.83333333333333337</v>
      </c>
    </row>
    <row r="992" spans="9:9" x14ac:dyDescent="0.3">
      <c r="I992" s="8">
        <v>0.83333333333333337</v>
      </c>
    </row>
    <row r="993" spans="2:9" x14ac:dyDescent="0.3">
      <c r="B993" s="50"/>
      <c r="I993" s="8">
        <v>0.83333333333333337</v>
      </c>
    </row>
    <row r="994" spans="2:9" x14ac:dyDescent="0.3">
      <c r="B994" s="50"/>
      <c r="I994" s="8">
        <v>0.83333333333333337</v>
      </c>
    </row>
    <row r="995" spans="2:9" x14ac:dyDescent="0.3">
      <c r="B995" s="50"/>
      <c r="I995" s="8">
        <v>0.83333333333333337</v>
      </c>
    </row>
    <row r="996" spans="2:9" x14ac:dyDescent="0.3">
      <c r="B996" s="50"/>
      <c r="I996" s="8">
        <v>0.83333333333333337</v>
      </c>
    </row>
    <row r="997" spans="2:9" x14ac:dyDescent="0.3">
      <c r="B997" s="50"/>
      <c r="I997" s="8">
        <v>0.83333333333333337</v>
      </c>
    </row>
    <row r="998" spans="2:9" x14ac:dyDescent="0.3">
      <c r="B998" s="50"/>
      <c r="I998" s="8">
        <v>0.83333333333333337</v>
      </c>
    </row>
    <row r="999" spans="2:9" x14ac:dyDescent="0.3">
      <c r="B999" s="50"/>
      <c r="I999" s="8">
        <v>0.83333333333333337</v>
      </c>
    </row>
    <row r="1000" spans="2:9" x14ac:dyDescent="0.3">
      <c r="B1000" s="50"/>
      <c r="I1000" s="8">
        <v>0.83333333333333337</v>
      </c>
    </row>
    <row r="1001" spans="2:9" x14ac:dyDescent="0.3">
      <c r="B1001" s="50" t="s">
        <v>94</v>
      </c>
      <c r="I1001" s="8">
        <v>0.83333333333333337</v>
      </c>
    </row>
    <row r="1002" spans="2:9" x14ac:dyDescent="0.3">
      <c r="B1002" s="50" t="s">
        <v>94</v>
      </c>
      <c r="I1002" s="8">
        <v>0.83333333333333337</v>
      </c>
    </row>
    <row r="1003" spans="2:9" x14ac:dyDescent="0.3">
      <c r="B1003" s="50" t="s">
        <v>94</v>
      </c>
      <c r="I1003" s="8">
        <v>0.83333333333333337</v>
      </c>
    </row>
    <row r="1004" spans="2:9" x14ac:dyDescent="0.3">
      <c r="B1004" s="50" t="s">
        <v>94</v>
      </c>
      <c r="I1004" s="8">
        <v>0.83333333333333337</v>
      </c>
    </row>
    <row r="1005" spans="2:9" x14ac:dyDescent="0.3">
      <c r="B1005" s="50" t="s">
        <v>94</v>
      </c>
      <c r="I1005" s="8">
        <v>0.83333333333333337</v>
      </c>
    </row>
    <row r="1006" spans="2:9" x14ac:dyDescent="0.3">
      <c r="B1006" s="50" t="s">
        <v>94</v>
      </c>
      <c r="I1006" s="8">
        <v>0.83333333333333337</v>
      </c>
    </row>
    <row r="1007" spans="2:9" x14ac:dyDescent="0.3">
      <c r="B1007" s="50" t="s">
        <v>94</v>
      </c>
      <c r="I1007" s="8">
        <v>0.83333333333333337</v>
      </c>
    </row>
    <row r="1008" spans="2:9" x14ac:dyDescent="0.3">
      <c r="B1008" s="50" t="s">
        <v>94</v>
      </c>
      <c r="I1008" s="8">
        <v>0.83333333333333337</v>
      </c>
    </row>
    <row r="1009" spans="2:9" x14ac:dyDescent="0.3">
      <c r="B1009" s="50" t="s">
        <v>94</v>
      </c>
      <c r="I1009" s="8">
        <v>0.83333333333333337</v>
      </c>
    </row>
    <row r="1010" spans="2:9" x14ac:dyDescent="0.3">
      <c r="B1010" s="50" t="s">
        <v>94</v>
      </c>
      <c r="I1010" s="8">
        <v>0.83333333333333337</v>
      </c>
    </row>
    <row r="1011" spans="2:9" x14ac:dyDescent="0.3">
      <c r="B1011" s="50" t="s">
        <v>94</v>
      </c>
      <c r="I1011" s="8">
        <v>0.83333333333333337</v>
      </c>
    </row>
    <row r="1012" spans="2:9" x14ac:dyDescent="0.3">
      <c r="B1012" s="50" t="s">
        <v>94</v>
      </c>
      <c r="I1012" s="8">
        <v>0.83333333333333337</v>
      </c>
    </row>
    <row r="1013" spans="2:9" x14ac:dyDescent="0.3">
      <c r="B1013" s="50" t="s">
        <v>94</v>
      </c>
      <c r="I1013" s="8">
        <v>0.83333333333333337</v>
      </c>
    </row>
    <row r="1014" spans="2:9" x14ac:dyDescent="0.3">
      <c r="B1014" s="50" t="s">
        <v>94</v>
      </c>
      <c r="I1014" s="8">
        <v>0.83333333333333337</v>
      </c>
    </row>
    <row r="1015" spans="2:9" x14ac:dyDescent="0.3">
      <c r="B1015" s="50" t="s">
        <v>94</v>
      </c>
      <c r="I1015" s="8">
        <v>0.83333333333333337</v>
      </c>
    </row>
    <row r="1016" spans="2:9" x14ac:dyDescent="0.3">
      <c r="B1016" s="50" t="s">
        <v>94</v>
      </c>
      <c r="I1016" s="8">
        <v>0.83333333333333337</v>
      </c>
    </row>
    <row r="1017" spans="2:9" x14ac:dyDescent="0.3">
      <c r="B1017" s="50" t="s">
        <v>94</v>
      </c>
      <c r="I1017" s="8">
        <v>0.83333333333333337</v>
      </c>
    </row>
    <row r="1018" spans="2:9" x14ac:dyDescent="0.3">
      <c r="B1018" s="50" t="s">
        <v>94</v>
      </c>
      <c r="I1018" s="8">
        <v>0.83333333333333337</v>
      </c>
    </row>
    <row r="1019" spans="2:9" x14ac:dyDescent="0.3">
      <c r="B1019" s="50" t="s">
        <v>94</v>
      </c>
      <c r="I1019" s="8">
        <v>0.83333333333333337</v>
      </c>
    </row>
    <row r="1020" spans="2:9" x14ac:dyDescent="0.3">
      <c r="B1020" s="50" t="s">
        <v>94</v>
      </c>
      <c r="I1020" s="8">
        <v>0.83333333333333337</v>
      </c>
    </row>
    <row r="1021" spans="2:9" x14ac:dyDescent="0.3">
      <c r="B1021" s="50" t="s">
        <v>94</v>
      </c>
      <c r="I1021" s="8">
        <v>0.83333333333333337</v>
      </c>
    </row>
    <row r="1022" spans="2:9" x14ac:dyDescent="0.3">
      <c r="B1022" s="50" t="s">
        <v>94</v>
      </c>
      <c r="I1022" s="8">
        <v>0.83333333333333337</v>
      </c>
    </row>
    <row r="1023" spans="2:9" x14ac:dyDescent="0.3">
      <c r="B1023" s="50" t="s">
        <v>94</v>
      </c>
      <c r="I1023" s="8">
        <v>0.83333333333333337</v>
      </c>
    </row>
    <row r="1024" spans="2:9" x14ac:dyDescent="0.3">
      <c r="B1024" s="50" t="s">
        <v>94</v>
      </c>
      <c r="I1024" s="8">
        <v>0.83333333333333337</v>
      </c>
    </row>
    <row r="1025" spans="2:9" x14ac:dyDescent="0.3">
      <c r="B1025" s="50" t="s">
        <v>94</v>
      </c>
      <c r="I1025" s="8">
        <v>0.83333333333333337</v>
      </c>
    </row>
    <row r="1026" spans="2:9" x14ac:dyDescent="0.3">
      <c r="B1026" s="50" t="s">
        <v>94</v>
      </c>
      <c r="I1026" s="8">
        <v>0.83333333333333337</v>
      </c>
    </row>
    <row r="1027" spans="2:9" x14ac:dyDescent="0.3">
      <c r="B1027" s="50" t="s">
        <v>94</v>
      </c>
      <c r="I1027" s="8">
        <v>0.83333333333333337</v>
      </c>
    </row>
    <row r="1028" spans="2:9" x14ac:dyDescent="0.3">
      <c r="B1028" s="50" t="s">
        <v>94</v>
      </c>
      <c r="I1028" s="8">
        <v>0.83333333333333337</v>
      </c>
    </row>
    <row r="1029" spans="2:9" x14ac:dyDescent="0.3">
      <c r="B1029" s="50" t="s">
        <v>94</v>
      </c>
      <c r="I1029" s="8">
        <v>0.83333333333333337</v>
      </c>
    </row>
    <row r="1030" spans="2:9" x14ac:dyDescent="0.3">
      <c r="B1030" s="50" t="s">
        <v>94</v>
      </c>
      <c r="I1030" s="8">
        <v>0.83333333333333337</v>
      </c>
    </row>
    <row r="1031" spans="2:9" x14ac:dyDescent="0.3">
      <c r="B1031" s="50" t="s">
        <v>94</v>
      </c>
      <c r="I1031" s="8">
        <v>0.83333333333333337</v>
      </c>
    </row>
    <row r="1032" spans="2:9" x14ac:dyDescent="0.3">
      <c r="B1032" s="50" t="s">
        <v>94</v>
      </c>
      <c r="I1032" s="8">
        <v>0.83333333333333337</v>
      </c>
    </row>
    <row r="1033" spans="2:9" x14ac:dyDescent="0.3">
      <c r="B1033" s="50" t="s">
        <v>94</v>
      </c>
      <c r="I1033" s="8">
        <v>0.83333333333333337</v>
      </c>
    </row>
    <row r="1034" spans="2:9" x14ac:dyDescent="0.3">
      <c r="B1034" s="50" t="s">
        <v>94</v>
      </c>
      <c r="I1034" s="8">
        <v>0.83333333333333337</v>
      </c>
    </row>
    <row r="1035" spans="2:9" x14ac:dyDescent="0.3">
      <c r="B1035" s="50" t="s">
        <v>94</v>
      </c>
      <c r="I1035" s="8">
        <v>0.83333333333333337</v>
      </c>
    </row>
    <row r="1036" spans="2:9" x14ac:dyDescent="0.3">
      <c r="B1036" s="50" t="s">
        <v>94</v>
      </c>
      <c r="I1036" s="8">
        <v>0.83333333333333337</v>
      </c>
    </row>
    <row r="1037" spans="2:9" x14ac:dyDescent="0.3">
      <c r="B1037" s="50" t="s">
        <v>94</v>
      </c>
      <c r="I1037" s="8">
        <v>0.83333333333333337</v>
      </c>
    </row>
    <row r="1038" spans="2:9" x14ac:dyDescent="0.3">
      <c r="B1038" s="50" t="s">
        <v>94</v>
      </c>
      <c r="I1038" s="8">
        <v>0.83333333333333337</v>
      </c>
    </row>
    <row r="1039" spans="2:9" x14ac:dyDescent="0.3">
      <c r="B1039" s="50" t="s">
        <v>94</v>
      </c>
      <c r="I1039" s="8">
        <v>0.83333333333333337</v>
      </c>
    </row>
    <row r="1040" spans="2:9" x14ac:dyDescent="0.3">
      <c r="B1040" s="50" t="s">
        <v>94</v>
      </c>
      <c r="I1040" s="8">
        <v>0.83333333333333337</v>
      </c>
    </row>
    <row r="1041" spans="2:9" x14ac:dyDescent="0.3">
      <c r="B1041" s="50" t="s">
        <v>94</v>
      </c>
      <c r="I1041" s="8">
        <v>0.83333333333333337</v>
      </c>
    </row>
    <row r="1042" spans="2:9" x14ac:dyDescent="0.3">
      <c r="B1042" s="50" t="s">
        <v>94</v>
      </c>
      <c r="I1042" s="8">
        <v>0.83333333333333337</v>
      </c>
    </row>
    <row r="1043" spans="2:9" x14ac:dyDescent="0.3">
      <c r="B1043" s="50" t="s">
        <v>94</v>
      </c>
      <c r="I1043" s="8">
        <v>0.83333333333333337</v>
      </c>
    </row>
    <row r="1044" spans="2:9" x14ac:dyDescent="0.3">
      <c r="B1044" s="50" t="s">
        <v>94</v>
      </c>
      <c r="I1044" s="8">
        <v>0.83333333333333337</v>
      </c>
    </row>
    <row r="1045" spans="2:9" x14ac:dyDescent="0.3">
      <c r="B1045" s="50" t="s">
        <v>94</v>
      </c>
      <c r="I1045" s="8">
        <v>0.83333333333333337</v>
      </c>
    </row>
    <row r="1046" spans="2:9" x14ac:dyDescent="0.3">
      <c r="B1046" s="50" t="s">
        <v>94</v>
      </c>
      <c r="I1046" s="8">
        <v>0.83333333333333337</v>
      </c>
    </row>
    <row r="1047" spans="2:9" x14ac:dyDescent="0.3">
      <c r="B1047" s="50" t="s">
        <v>94</v>
      </c>
      <c r="I1047" s="8">
        <v>0.83333333333333337</v>
      </c>
    </row>
    <row r="1048" spans="2:9" x14ac:dyDescent="0.3">
      <c r="B1048" s="50" t="s">
        <v>94</v>
      </c>
      <c r="I1048" s="8">
        <v>0.83333333333333337</v>
      </c>
    </row>
    <row r="1049" spans="2:9" x14ac:dyDescent="0.3">
      <c r="B1049" s="50" t="s">
        <v>94</v>
      </c>
      <c r="I1049" s="8">
        <v>0.83333333333333337</v>
      </c>
    </row>
    <row r="1050" spans="2:9" x14ac:dyDescent="0.3">
      <c r="B1050" s="50" t="s">
        <v>94</v>
      </c>
      <c r="I1050" s="8">
        <v>0.83333333333333337</v>
      </c>
    </row>
    <row r="1051" spans="2:9" x14ac:dyDescent="0.3">
      <c r="B1051" s="50" t="s">
        <v>94</v>
      </c>
      <c r="I1051" s="8">
        <v>0.83333333333333337</v>
      </c>
    </row>
    <row r="1052" spans="2:9" x14ac:dyDescent="0.3">
      <c r="B1052" s="50" t="s">
        <v>94</v>
      </c>
      <c r="I1052" s="8">
        <v>0.83333333333333337</v>
      </c>
    </row>
    <row r="1053" spans="2:9" x14ac:dyDescent="0.3">
      <c r="B1053" s="50" t="s">
        <v>94</v>
      </c>
      <c r="I1053" s="8">
        <v>0.83333333333333337</v>
      </c>
    </row>
    <row r="1054" spans="2:9" x14ac:dyDescent="0.3">
      <c r="B1054" s="50" t="s">
        <v>94</v>
      </c>
      <c r="I1054" s="8">
        <v>0.83333333333333337</v>
      </c>
    </row>
    <row r="1055" spans="2:9" x14ac:dyDescent="0.3">
      <c r="B1055" s="50" t="s">
        <v>94</v>
      </c>
      <c r="I1055" s="8">
        <v>0.83333333333333337</v>
      </c>
    </row>
    <row r="1056" spans="2:9" x14ac:dyDescent="0.3">
      <c r="B1056" s="50" t="s">
        <v>94</v>
      </c>
      <c r="I1056" s="8">
        <v>0.83333333333333337</v>
      </c>
    </row>
    <row r="1057" spans="2:9" x14ac:dyDescent="0.3">
      <c r="B1057" s="50" t="s">
        <v>94</v>
      </c>
      <c r="I1057" s="8">
        <v>0.83333333333333337</v>
      </c>
    </row>
    <row r="1058" spans="2:9" x14ac:dyDescent="0.3">
      <c r="B1058" s="50" t="s">
        <v>94</v>
      </c>
      <c r="I1058" s="8">
        <v>0.83333333333333337</v>
      </c>
    </row>
    <row r="1059" spans="2:9" x14ac:dyDescent="0.3">
      <c r="B1059" s="50" t="s">
        <v>94</v>
      </c>
      <c r="I1059" s="8">
        <v>0.83333333333333337</v>
      </c>
    </row>
    <row r="1060" spans="2:9" x14ac:dyDescent="0.3">
      <c r="B1060" s="50" t="s">
        <v>94</v>
      </c>
      <c r="I1060" s="8">
        <v>0.83333333333333337</v>
      </c>
    </row>
    <row r="1061" spans="2:9" x14ac:dyDescent="0.3">
      <c r="B1061" s="50" t="s">
        <v>94</v>
      </c>
      <c r="I1061" s="8">
        <v>0.83333333333333337</v>
      </c>
    </row>
    <row r="1062" spans="2:9" x14ac:dyDescent="0.3">
      <c r="B1062" s="50" t="s">
        <v>94</v>
      </c>
      <c r="I1062" s="8">
        <v>0.83333333333333337</v>
      </c>
    </row>
    <row r="1063" spans="2:9" x14ac:dyDescent="0.3">
      <c r="B1063" s="50" t="s">
        <v>94</v>
      </c>
      <c r="I1063" s="8">
        <v>0.83333333333333337</v>
      </c>
    </row>
    <row r="1064" spans="2:9" x14ac:dyDescent="0.3">
      <c r="B1064" s="50" t="s">
        <v>94</v>
      </c>
      <c r="I1064" s="8">
        <v>0.83333333333333337</v>
      </c>
    </row>
    <row r="1065" spans="2:9" x14ac:dyDescent="0.3">
      <c r="B1065" s="50" t="s">
        <v>94</v>
      </c>
      <c r="I1065" s="8">
        <v>0.83333333333333337</v>
      </c>
    </row>
    <row r="1066" spans="2:9" x14ac:dyDescent="0.3">
      <c r="B1066" s="50" t="s">
        <v>94</v>
      </c>
      <c r="I1066" s="8">
        <v>0.83333333333333337</v>
      </c>
    </row>
    <row r="1067" spans="2:9" x14ac:dyDescent="0.3">
      <c r="B1067" s="50" t="s">
        <v>94</v>
      </c>
      <c r="I1067" s="8">
        <v>0.83333333333333337</v>
      </c>
    </row>
    <row r="1068" spans="2:9" x14ac:dyDescent="0.3">
      <c r="B1068" s="50" t="s">
        <v>94</v>
      </c>
      <c r="I1068" s="8">
        <v>0.83333333333333337</v>
      </c>
    </row>
    <row r="1069" spans="2:9" x14ac:dyDescent="0.3">
      <c r="B1069" s="50" t="s">
        <v>94</v>
      </c>
      <c r="I1069" s="8">
        <v>0.83333333333333337</v>
      </c>
    </row>
    <row r="1070" spans="2:9" x14ac:dyDescent="0.3">
      <c r="B1070" s="50" t="s">
        <v>94</v>
      </c>
      <c r="I1070" s="8">
        <v>0.83333333333333337</v>
      </c>
    </row>
    <row r="1071" spans="2:9" x14ac:dyDescent="0.3">
      <c r="B1071" s="50" t="s">
        <v>94</v>
      </c>
      <c r="I1071" s="8">
        <v>0.83333333333333337</v>
      </c>
    </row>
    <row r="1072" spans="2:9" x14ac:dyDescent="0.3">
      <c r="B1072" s="50" t="s">
        <v>94</v>
      </c>
      <c r="I1072" s="8">
        <v>0.83333333333333337</v>
      </c>
    </row>
    <row r="1073" spans="2:9" x14ac:dyDescent="0.3">
      <c r="B1073" s="50" t="s">
        <v>94</v>
      </c>
      <c r="I1073" s="8">
        <v>0.83333333333333337</v>
      </c>
    </row>
    <row r="1074" spans="2:9" x14ac:dyDescent="0.3">
      <c r="B1074" s="50" t="s">
        <v>94</v>
      </c>
      <c r="I1074" s="8">
        <v>0.83333333333333337</v>
      </c>
    </row>
    <row r="1075" spans="2:9" x14ac:dyDescent="0.3">
      <c r="B1075" s="50" t="s">
        <v>94</v>
      </c>
      <c r="I1075" s="8">
        <v>0.83333333333333337</v>
      </c>
    </row>
    <row r="1076" spans="2:9" x14ac:dyDescent="0.3">
      <c r="B1076" s="50" t="s">
        <v>94</v>
      </c>
      <c r="I1076" s="8">
        <v>0.83333333333333337</v>
      </c>
    </row>
    <row r="1077" spans="2:9" x14ac:dyDescent="0.3">
      <c r="B1077" s="50" t="s">
        <v>94</v>
      </c>
      <c r="I1077" s="8">
        <v>0.83333333333333337</v>
      </c>
    </row>
    <row r="1078" spans="2:9" x14ac:dyDescent="0.3">
      <c r="B1078" s="50" t="s">
        <v>94</v>
      </c>
      <c r="I1078" s="8">
        <v>0.83333333333333337</v>
      </c>
    </row>
    <row r="1079" spans="2:9" x14ac:dyDescent="0.3">
      <c r="B1079" s="50" t="s">
        <v>94</v>
      </c>
      <c r="I1079" s="8">
        <v>0.83333333333333337</v>
      </c>
    </row>
    <row r="1080" spans="2:9" x14ac:dyDescent="0.3">
      <c r="B1080" s="50" t="s">
        <v>94</v>
      </c>
      <c r="I1080" s="8">
        <v>0.83333333333333337</v>
      </c>
    </row>
    <row r="1081" spans="2:9" x14ac:dyDescent="0.3">
      <c r="B1081" s="50" t="s">
        <v>94</v>
      </c>
      <c r="I1081" s="8">
        <v>0.83333333333333337</v>
      </c>
    </row>
    <row r="1082" spans="2:9" x14ac:dyDescent="0.3">
      <c r="B1082" s="50" t="s">
        <v>94</v>
      </c>
      <c r="I1082" s="8">
        <v>0.83333333333333337</v>
      </c>
    </row>
    <row r="1083" spans="2:9" x14ac:dyDescent="0.3">
      <c r="B1083" s="50" t="s">
        <v>94</v>
      </c>
      <c r="I1083" s="8">
        <v>0.83333333333333337</v>
      </c>
    </row>
    <row r="1084" spans="2:9" x14ac:dyDescent="0.3">
      <c r="B1084" s="50" t="s">
        <v>94</v>
      </c>
      <c r="I1084" s="8">
        <v>0.83333333333333337</v>
      </c>
    </row>
    <row r="1085" spans="2:9" x14ac:dyDescent="0.3">
      <c r="B1085" s="50" t="s">
        <v>94</v>
      </c>
      <c r="I1085" s="8">
        <v>0.83333333333333337</v>
      </c>
    </row>
    <row r="1086" spans="2:9" x14ac:dyDescent="0.3">
      <c r="B1086" s="50" t="s">
        <v>94</v>
      </c>
      <c r="I1086" s="8">
        <v>0.83333333333333337</v>
      </c>
    </row>
    <row r="1087" spans="2:9" x14ac:dyDescent="0.3">
      <c r="B1087" s="50" t="s">
        <v>94</v>
      </c>
      <c r="I1087" s="8">
        <v>0.83333333333333337</v>
      </c>
    </row>
    <row r="1088" spans="2:9" x14ac:dyDescent="0.3">
      <c r="B1088" s="50" t="s">
        <v>94</v>
      </c>
      <c r="I1088" s="8">
        <v>0.83333333333333337</v>
      </c>
    </row>
    <row r="1089" spans="2:9" x14ac:dyDescent="0.3">
      <c r="B1089" s="50" t="s">
        <v>94</v>
      </c>
      <c r="I1089" s="8">
        <v>0.83333333333333337</v>
      </c>
    </row>
    <row r="1090" spans="2:9" x14ac:dyDescent="0.3">
      <c r="B1090" s="50" t="s">
        <v>94</v>
      </c>
      <c r="I1090" s="8">
        <v>0.83333333333333337</v>
      </c>
    </row>
    <row r="1091" spans="2:9" x14ac:dyDescent="0.3">
      <c r="B1091" s="50" t="s">
        <v>94</v>
      </c>
      <c r="I1091" s="8">
        <v>0.83333333333333337</v>
      </c>
    </row>
    <row r="1092" spans="2:9" x14ac:dyDescent="0.3">
      <c r="B1092" s="50" t="s">
        <v>94</v>
      </c>
      <c r="I1092" s="8">
        <v>0.83333333333333337</v>
      </c>
    </row>
    <row r="1093" spans="2:9" x14ac:dyDescent="0.3">
      <c r="B1093" s="50" t="s">
        <v>94</v>
      </c>
      <c r="I1093" s="8">
        <v>0.83333333333333337</v>
      </c>
    </row>
    <row r="1094" spans="2:9" x14ac:dyDescent="0.3">
      <c r="B1094" s="50" t="s">
        <v>94</v>
      </c>
      <c r="I1094" s="8">
        <v>0.83333333333333337</v>
      </c>
    </row>
    <row r="1095" spans="2:9" x14ac:dyDescent="0.3">
      <c r="B1095" s="50" t="s">
        <v>94</v>
      </c>
      <c r="I1095" s="8">
        <v>0.83333333333333337</v>
      </c>
    </row>
    <row r="1096" spans="2:9" x14ac:dyDescent="0.3">
      <c r="B1096" s="50" t="s">
        <v>94</v>
      </c>
      <c r="I1096" s="8">
        <v>0.83333333333333337</v>
      </c>
    </row>
    <row r="1097" spans="2:9" x14ac:dyDescent="0.3">
      <c r="B1097" s="50" t="s">
        <v>94</v>
      </c>
      <c r="I1097" s="8">
        <v>0.83333333333333337</v>
      </c>
    </row>
    <row r="1098" spans="2:9" x14ac:dyDescent="0.3">
      <c r="B1098" s="50" t="s">
        <v>94</v>
      </c>
      <c r="I1098" s="8">
        <v>0.83333333333333337</v>
      </c>
    </row>
    <row r="1099" spans="2:9" x14ac:dyDescent="0.3">
      <c r="B1099" s="50" t="s">
        <v>94</v>
      </c>
      <c r="I1099" s="8">
        <v>0.83333333333333337</v>
      </c>
    </row>
    <row r="1100" spans="2:9" x14ac:dyDescent="0.3">
      <c r="B1100" s="50" t="s">
        <v>94</v>
      </c>
      <c r="I1100" s="8">
        <v>0.83333333333333337</v>
      </c>
    </row>
    <row r="1101" spans="2:9" x14ac:dyDescent="0.3">
      <c r="B1101" s="50" t="s">
        <v>94</v>
      </c>
      <c r="I1101" s="8">
        <v>0.83333333333333337</v>
      </c>
    </row>
    <row r="1102" spans="2:9" x14ac:dyDescent="0.3">
      <c r="B1102" s="50" t="s">
        <v>94</v>
      </c>
      <c r="I1102" s="8">
        <v>0.83333333333333337</v>
      </c>
    </row>
    <row r="1103" spans="2:9" x14ac:dyDescent="0.3">
      <c r="B1103" s="50" t="s">
        <v>94</v>
      </c>
      <c r="I1103" s="8">
        <v>0.83333333333333337</v>
      </c>
    </row>
    <row r="1104" spans="2:9" x14ac:dyDescent="0.3">
      <c r="B1104" s="50" t="s">
        <v>94</v>
      </c>
      <c r="I1104" s="8">
        <v>0.83333333333333337</v>
      </c>
    </row>
    <row r="1105" spans="2:9" x14ac:dyDescent="0.3">
      <c r="B1105" s="50" t="s">
        <v>94</v>
      </c>
      <c r="I1105" s="8">
        <v>0.83333333333333337</v>
      </c>
    </row>
    <row r="1106" spans="2:9" x14ac:dyDescent="0.3">
      <c r="B1106" s="50" t="s">
        <v>94</v>
      </c>
      <c r="I1106" s="8">
        <v>0.83333333333333337</v>
      </c>
    </row>
    <row r="1107" spans="2:9" x14ac:dyDescent="0.3">
      <c r="B1107" s="50" t="s">
        <v>94</v>
      </c>
      <c r="I1107" s="8">
        <v>0.83333333333333337</v>
      </c>
    </row>
    <row r="1108" spans="2:9" x14ac:dyDescent="0.3">
      <c r="B1108" s="50" t="s">
        <v>94</v>
      </c>
      <c r="I1108" s="8">
        <v>0.83333333333333337</v>
      </c>
    </row>
    <row r="1109" spans="2:9" x14ac:dyDescent="0.3">
      <c r="B1109" s="50" t="s">
        <v>94</v>
      </c>
      <c r="I1109" s="8">
        <v>0.83333333333333337</v>
      </c>
    </row>
    <row r="1110" spans="2:9" x14ac:dyDescent="0.3">
      <c r="B1110" s="50" t="s">
        <v>94</v>
      </c>
      <c r="I1110" s="8">
        <v>0.83333333333333337</v>
      </c>
    </row>
    <row r="1111" spans="2:9" x14ac:dyDescent="0.3">
      <c r="B1111" s="50" t="s">
        <v>94</v>
      </c>
      <c r="I1111" s="8">
        <v>0.83333333333333337</v>
      </c>
    </row>
    <row r="1112" spans="2:9" x14ac:dyDescent="0.3">
      <c r="B1112" s="50" t="s">
        <v>94</v>
      </c>
      <c r="I1112" s="8">
        <v>0.83333333333333337</v>
      </c>
    </row>
    <row r="1113" spans="2:9" x14ac:dyDescent="0.3">
      <c r="B1113" s="50" t="s">
        <v>94</v>
      </c>
      <c r="I1113" s="8">
        <v>0.83333333333333337</v>
      </c>
    </row>
    <row r="1114" spans="2:9" x14ac:dyDescent="0.3">
      <c r="B1114" s="50" t="s">
        <v>94</v>
      </c>
      <c r="I1114" s="8">
        <v>0.83333333333333337</v>
      </c>
    </row>
    <row r="1115" spans="2:9" x14ac:dyDescent="0.3">
      <c r="B1115" s="50" t="s">
        <v>94</v>
      </c>
      <c r="I1115" s="8">
        <v>0.83333333333333337</v>
      </c>
    </row>
    <row r="1116" spans="2:9" x14ac:dyDescent="0.3">
      <c r="B1116" s="50" t="s">
        <v>94</v>
      </c>
      <c r="I1116" s="8">
        <v>0.83333333333333337</v>
      </c>
    </row>
    <row r="1117" spans="2:9" x14ac:dyDescent="0.3">
      <c r="B1117" s="50" t="s">
        <v>94</v>
      </c>
      <c r="I1117" s="8">
        <v>0.83333333333333337</v>
      </c>
    </row>
    <row r="1118" spans="2:9" x14ac:dyDescent="0.3">
      <c r="B1118" s="50" t="s">
        <v>94</v>
      </c>
      <c r="I1118" s="8">
        <v>0.83333333333333337</v>
      </c>
    </row>
    <row r="1119" spans="2:9" x14ac:dyDescent="0.3">
      <c r="B1119" s="50" t="s">
        <v>94</v>
      </c>
      <c r="I1119" s="8">
        <v>0.83333333333333337</v>
      </c>
    </row>
    <row r="1120" spans="2:9" x14ac:dyDescent="0.3">
      <c r="B1120" s="50" t="s">
        <v>94</v>
      </c>
      <c r="I1120" s="8">
        <v>0.83333333333333337</v>
      </c>
    </row>
    <row r="1121" spans="2:9" x14ac:dyDescent="0.3">
      <c r="B1121" s="50" t="s">
        <v>94</v>
      </c>
      <c r="I1121" s="8">
        <v>0.83333333333333337</v>
      </c>
    </row>
    <row r="1122" spans="2:9" x14ac:dyDescent="0.3">
      <c r="B1122" s="50" t="s">
        <v>94</v>
      </c>
      <c r="I1122" s="8">
        <v>0.83333333333333337</v>
      </c>
    </row>
    <row r="1123" spans="2:9" x14ac:dyDescent="0.3">
      <c r="B1123" s="50" t="s">
        <v>94</v>
      </c>
      <c r="I1123" s="8">
        <v>0.83333333333333337</v>
      </c>
    </row>
    <row r="1124" spans="2:9" x14ac:dyDescent="0.3">
      <c r="B1124" s="50" t="s">
        <v>94</v>
      </c>
      <c r="I1124" s="8">
        <v>0.83333333333333337</v>
      </c>
    </row>
    <row r="1125" spans="2:9" x14ac:dyDescent="0.3">
      <c r="B1125" s="50" t="s">
        <v>94</v>
      </c>
      <c r="I1125" s="8">
        <v>0.83333333333333337</v>
      </c>
    </row>
    <row r="1126" spans="2:9" x14ac:dyDescent="0.3">
      <c r="B1126" s="50" t="s">
        <v>94</v>
      </c>
      <c r="I1126" s="8">
        <v>0.83333333333333337</v>
      </c>
    </row>
    <row r="1127" spans="2:9" x14ac:dyDescent="0.3">
      <c r="B1127" s="50" t="s">
        <v>94</v>
      </c>
      <c r="I1127" s="8">
        <v>0.83333333333333337</v>
      </c>
    </row>
    <row r="1128" spans="2:9" x14ac:dyDescent="0.3">
      <c r="B1128" s="50" t="s">
        <v>94</v>
      </c>
      <c r="I1128" s="8">
        <v>0.83333333333333337</v>
      </c>
    </row>
    <row r="1129" spans="2:9" x14ac:dyDescent="0.3">
      <c r="B1129" s="50" t="s">
        <v>94</v>
      </c>
      <c r="I1129" s="8">
        <v>0.83333333333333337</v>
      </c>
    </row>
    <row r="1130" spans="2:9" x14ac:dyDescent="0.3">
      <c r="B1130" s="50" t="s">
        <v>94</v>
      </c>
      <c r="I1130" s="8">
        <v>0.83333333333333337</v>
      </c>
    </row>
    <row r="1131" spans="2:9" x14ac:dyDescent="0.3">
      <c r="B1131" s="50" t="s">
        <v>94</v>
      </c>
      <c r="I1131" s="8">
        <v>0.83333333333333337</v>
      </c>
    </row>
    <row r="1132" spans="2:9" x14ac:dyDescent="0.3">
      <c r="B1132" s="50" t="s">
        <v>94</v>
      </c>
      <c r="I1132" s="8">
        <v>0.83333333333333337</v>
      </c>
    </row>
    <row r="1133" spans="2:9" x14ac:dyDescent="0.3">
      <c r="B1133" s="50" t="s">
        <v>94</v>
      </c>
      <c r="I1133" s="8">
        <v>0.83333333333333337</v>
      </c>
    </row>
    <row r="1134" spans="2:9" x14ac:dyDescent="0.3">
      <c r="B1134" s="50" t="s">
        <v>94</v>
      </c>
      <c r="I1134" s="8">
        <v>0.83333333333333337</v>
      </c>
    </row>
    <row r="1135" spans="2:9" x14ac:dyDescent="0.3">
      <c r="B1135" s="50" t="s">
        <v>94</v>
      </c>
      <c r="I1135" s="8">
        <v>0.83333333333333337</v>
      </c>
    </row>
    <row r="1136" spans="2:9" x14ac:dyDescent="0.3">
      <c r="B1136" s="50" t="s">
        <v>94</v>
      </c>
      <c r="I1136" s="8">
        <v>0.83333333333333337</v>
      </c>
    </row>
    <row r="1137" spans="2:9" x14ac:dyDescent="0.3">
      <c r="B1137" s="50" t="s">
        <v>94</v>
      </c>
      <c r="I1137" s="8">
        <v>0.83333333333333337</v>
      </c>
    </row>
    <row r="1138" spans="2:9" x14ac:dyDescent="0.3">
      <c r="B1138" s="50" t="s">
        <v>94</v>
      </c>
      <c r="I1138" s="8">
        <v>0.83333333333333337</v>
      </c>
    </row>
    <row r="1139" spans="2:9" x14ac:dyDescent="0.3">
      <c r="B1139" s="50" t="s">
        <v>94</v>
      </c>
      <c r="I1139" s="8">
        <v>0.83333333333333337</v>
      </c>
    </row>
    <row r="1140" spans="2:9" x14ac:dyDescent="0.3">
      <c r="B1140" s="50" t="s">
        <v>94</v>
      </c>
      <c r="I1140" s="8">
        <v>0.83333333333333337</v>
      </c>
    </row>
    <row r="1141" spans="2:9" x14ac:dyDescent="0.3">
      <c r="B1141" s="50" t="s">
        <v>94</v>
      </c>
      <c r="I1141" s="8">
        <v>0.83333333333333337</v>
      </c>
    </row>
    <row r="1142" spans="2:9" x14ac:dyDescent="0.3">
      <c r="B1142" s="50" t="s">
        <v>94</v>
      </c>
      <c r="I1142" s="8">
        <v>0.83333333333333337</v>
      </c>
    </row>
    <row r="1143" spans="2:9" x14ac:dyDescent="0.3">
      <c r="B1143" s="50" t="s">
        <v>94</v>
      </c>
      <c r="I1143" s="8">
        <v>0.83333333333333337</v>
      </c>
    </row>
    <row r="1144" spans="2:9" x14ac:dyDescent="0.3">
      <c r="B1144" s="50" t="s">
        <v>94</v>
      </c>
      <c r="I1144" s="8">
        <v>0.83333333333333337</v>
      </c>
    </row>
    <row r="1145" spans="2:9" x14ac:dyDescent="0.3">
      <c r="B1145" s="50" t="s">
        <v>94</v>
      </c>
      <c r="I1145" s="8">
        <v>0.83333333333333337</v>
      </c>
    </row>
    <row r="1146" spans="2:9" x14ac:dyDescent="0.3">
      <c r="B1146" s="50" t="s">
        <v>94</v>
      </c>
      <c r="I1146" s="8">
        <v>0.83333333333333337</v>
      </c>
    </row>
    <row r="1147" spans="2:9" x14ac:dyDescent="0.3">
      <c r="B1147" s="50" t="s">
        <v>94</v>
      </c>
      <c r="I1147" s="8">
        <v>0.83333333333333337</v>
      </c>
    </row>
    <row r="1148" spans="2:9" x14ac:dyDescent="0.3">
      <c r="B1148" s="50" t="s">
        <v>94</v>
      </c>
      <c r="I1148" s="8">
        <v>0.83333333333333337</v>
      </c>
    </row>
    <row r="1149" spans="2:9" x14ac:dyDescent="0.3">
      <c r="B1149" s="50" t="s">
        <v>94</v>
      </c>
      <c r="I1149" s="8">
        <v>0.83333333333333337</v>
      </c>
    </row>
    <row r="1150" spans="2:9" x14ac:dyDescent="0.3">
      <c r="B1150" s="50" t="s">
        <v>94</v>
      </c>
      <c r="I1150" s="8">
        <v>0.83333333333333337</v>
      </c>
    </row>
    <row r="1151" spans="2:9" x14ac:dyDescent="0.3">
      <c r="B1151" s="50" t="s">
        <v>94</v>
      </c>
      <c r="I1151" s="8">
        <v>0.83333333333333337</v>
      </c>
    </row>
    <row r="1152" spans="2:9" x14ac:dyDescent="0.3">
      <c r="B1152" s="50" t="s">
        <v>94</v>
      </c>
      <c r="I1152" s="8">
        <v>0.83333333333333337</v>
      </c>
    </row>
    <row r="1153" spans="2:9" x14ac:dyDescent="0.3">
      <c r="B1153" s="50" t="s">
        <v>94</v>
      </c>
      <c r="I1153" s="8">
        <v>0.83333333333333337</v>
      </c>
    </row>
    <row r="1154" spans="2:9" x14ac:dyDescent="0.3">
      <c r="B1154" s="50" t="s">
        <v>94</v>
      </c>
      <c r="I1154" s="8">
        <v>0.83333333333333337</v>
      </c>
    </row>
    <row r="1155" spans="2:9" x14ac:dyDescent="0.3">
      <c r="B1155" s="50" t="s">
        <v>94</v>
      </c>
      <c r="I1155" s="8">
        <v>0.83333333333333337</v>
      </c>
    </row>
    <row r="1156" spans="2:9" x14ac:dyDescent="0.3">
      <c r="B1156" s="50" t="s">
        <v>94</v>
      </c>
      <c r="I1156" s="8">
        <v>0.83333333333333337</v>
      </c>
    </row>
    <row r="1157" spans="2:9" x14ac:dyDescent="0.3">
      <c r="B1157" s="50" t="s">
        <v>94</v>
      </c>
      <c r="I1157" s="8">
        <v>0.83333333333333337</v>
      </c>
    </row>
    <row r="1158" spans="2:9" x14ac:dyDescent="0.3">
      <c r="B1158" s="50" t="s">
        <v>94</v>
      </c>
      <c r="I1158" s="8">
        <v>0.83333333333333337</v>
      </c>
    </row>
    <row r="1159" spans="2:9" x14ac:dyDescent="0.3">
      <c r="B1159" s="50" t="s">
        <v>94</v>
      </c>
      <c r="I1159" s="8">
        <v>0.83333333333333337</v>
      </c>
    </row>
    <row r="1160" spans="2:9" x14ac:dyDescent="0.3">
      <c r="B1160" s="50" t="s">
        <v>94</v>
      </c>
      <c r="I1160" s="8">
        <v>0.83333333333333337</v>
      </c>
    </row>
    <row r="1161" spans="2:9" x14ac:dyDescent="0.3">
      <c r="B1161" s="50" t="s">
        <v>94</v>
      </c>
      <c r="I1161" s="8">
        <v>0.83333333333333337</v>
      </c>
    </row>
    <row r="1162" spans="2:9" x14ac:dyDescent="0.3">
      <c r="B1162" s="50" t="s">
        <v>94</v>
      </c>
      <c r="I1162" s="8">
        <v>0.83333333333333337</v>
      </c>
    </row>
    <row r="1163" spans="2:9" x14ac:dyDescent="0.3">
      <c r="B1163" s="50" t="s">
        <v>94</v>
      </c>
      <c r="I1163" s="8">
        <v>0.83333333333333337</v>
      </c>
    </row>
    <row r="1164" spans="2:9" x14ac:dyDescent="0.3">
      <c r="B1164" s="50" t="s">
        <v>94</v>
      </c>
      <c r="I1164" s="8">
        <v>0.83333333333333337</v>
      </c>
    </row>
    <row r="1165" spans="2:9" x14ac:dyDescent="0.3">
      <c r="B1165" s="50" t="s">
        <v>94</v>
      </c>
      <c r="I1165" s="8">
        <v>0.83333333333333337</v>
      </c>
    </row>
    <row r="1166" spans="2:9" x14ac:dyDescent="0.3">
      <c r="B1166" s="50" t="s">
        <v>94</v>
      </c>
      <c r="I1166" s="8">
        <v>0.83333333333333337</v>
      </c>
    </row>
    <row r="1167" spans="2:9" x14ac:dyDescent="0.3">
      <c r="B1167" s="50" t="s">
        <v>94</v>
      </c>
      <c r="I1167" s="8">
        <v>0.83333333333333337</v>
      </c>
    </row>
    <row r="1168" spans="2:9" x14ac:dyDescent="0.3">
      <c r="B1168" s="50" t="s">
        <v>94</v>
      </c>
      <c r="I1168" s="8">
        <v>0.83333333333333337</v>
      </c>
    </row>
    <row r="1169" spans="2:9" x14ac:dyDescent="0.3">
      <c r="B1169" s="50" t="s">
        <v>94</v>
      </c>
      <c r="I1169" s="8">
        <v>0.83333333333333337</v>
      </c>
    </row>
    <row r="1170" spans="2:9" x14ac:dyDescent="0.3">
      <c r="B1170" s="50" t="s">
        <v>94</v>
      </c>
      <c r="I1170" s="8">
        <v>0.83333333333333337</v>
      </c>
    </row>
    <row r="1171" spans="2:9" x14ac:dyDescent="0.3">
      <c r="B1171" s="50" t="s">
        <v>94</v>
      </c>
      <c r="I1171" s="8">
        <v>0.83333333333333337</v>
      </c>
    </row>
    <row r="1172" spans="2:9" x14ac:dyDescent="0.3">
      <c r="B1172" s="50" t="s">
        <v>94</v>
      </c>
      <c r="I1172" s="8">
        <v>0.83333333333333337</v>
      </c>
    </row>
    <row r="1173" spans="2:9" x14ac:dyDescent="0.3">
      <c r="B1173" s="50" t="s">
        <v>94</v>
      </c>
      <c r="I1173" s="8">
        <v>0.83333333333333337</v>
      </c>
    </row>
    <row r="1174" spans="2:9" x14ac:dyDescent="0.3">
      <c r="B1174" s="50" t="s">
        <v>94</v>
      </c>
      <c r="I1174" s="8">
        <v>0.83333333333333337</v>
      </c>
    </row>
    <row r="1175" spans="2:9" x14ac:dyDescent="0.3">
      <c r="B1175" s="50" t="s">
        <v>94</v>
      </c>
      <c r="I1175" s="8">
        <v>0.83333333333333337</v>
      </c>
    </row>
    <row r="1176" spans="2:9" x14ac:dyDescent="0.3">
      <c r="B1176" s="50" t="s">
        <v>94</v>
      </c>
      <c r="I1176" s="8">
        <v>0.83333333333333337</v>
      </c>
    </row>
    <row r="1177" spans="2:9" x14ac:dyDescent="0.3">
      <c r="B1177" s="50" t="s">
        <v>94</v>
      </c>
      <c r="I1177" s="8">
        <v>0.83333333333333337</v>
      </c>
    </row>
    <row r="1178" spans="2:9" x14ac:dyDescent="0.3">
      <c r="B1178" s="50" t="s">
        <v>94</v>
      </c>
      <c r="I1178" s="8">
        <v>0.83333333333333337</v>
      </c>
    </row>
    <row r="1179" spans="2:9" x14ac:dyDescent="0.3">
      <c r="B1179" s="50" t="s">
        <v>94</v>
      </c>
      <c r="I1179" s="8">
        <v>0.83333333333333337</v>
      </c>
    </row>
    <row r="1180" spans="2:9" x14ac:dyDescent="0.3">
      <c r="B1180" s="50" t="s">
        <v>94</v>
      </c>
      <c r="I1180" s="8">
        <v>0.83333333333333337</v>
      </c>
    </row>
    <row r="1181" spans="2:9" x14ac:dyDescent="0.3">
      <c r="B1181" s="50" t="s">
        <v>94</v>
      </c>
      <c r="I1181" s="8">
        <v>0.83333333333333337</v>
      </c>
    </row>
    <row r="1182" spans="2:9" x14ac:dyDescent="0.3">
      <c r="B1182" s="50" t="s">
        <v>94</v>
      </c>
      <c r="I1182" s="8">
        <v>0.83333333333333337</v>
      </c>
    </row>
    <row r="1183" spans="2:9" x14ac:dyDescent="0.3">
      <c r="B1183" s="50" t="s">
        <v>94</v>
      </c>
      <c r="I1183" s="8">
        <v>0.83333333333333337</v>
      </c>
    </row>
    <row r="1184" spans="2:9" x14ac:dyDescent="0.3">
      <c r="B1184" s="50" t="s">
        <v>94</v>
      </c>
      <c r="I1184" s="8">
        <v>0.83333333333333337</v>
      </c>
    </row>
    <row r="1185" spans="2:9" x14ac:dyDescent="0.3">
      <c r="B1185" s="50" t="s">
        <v>94</v>
      </c>
      <c r="I1185" s="8">
        <v>0.83333333333333337</v>
      </c>
    </row>
    <row r="1186" spans="2:9" x14ac:dyDescent="0.3">
      <c r="B1186" s="50" t="s">
        <v>94</v>
      </c>
      <c r="I1186" s="8">
        <v>0.83333333333333337</v>
      </c>
    </row>
    <row r="1187" spans="2:9" x14ac:dyDescent="0.3">
      <c r="B1187" s="50" t="s">
        <v>94</v>
      </c>
      <c r="I1187" s="8">
        <v>0.83333333333333337</v>
      </c>
    </row>
    <row r="1188" spans="2:9" x14ac:dyDescent="0.3">
      <c r="B1188" s="50" t="s">
        <v>94</v>
      </c>
      <c r="I1188" s="8">
        <v>0.83333333333333337</v>
      </c>
    </row>
    <row r="1189" spans="2:9" x14ac:dyDescent="0.3">
      <c r="B1189" s="50" t="s">
        <v>94</v>
      </c>
      <c r="I1189" s="8">
        <v>0.83333333333333337</v>
      </c>
    </row>
    <row r="1190" spans="2:9" x14ac:dyDescent="0.3">
      <c r="B1190" s="50" t="s">
        <v>94</v>
      </c>
      <c r="I1190" s="8">
        <v>0.83333333333333337</v>
      </c>
    </row>
    <row r="1191" spans="2:9" x14ac:dyDescent="0.3">
      <c r="B1191" s="50" t="s">
        <v>94</v>
      </c>
      <c r="I1191" s="8">
        <v>0.83333333333333337</v>
      </c>
    </row>
    <row r="1192" spans="2:9" x14ac:dyDescent="0.3">
      <c r="B1192" s="50" t="s">
        <v>94</v>
      </c>
      <c r="I1192" s="8">
        <v>0.83333333333333337</v>
      </c>
    </row>
    <row r="1193" spans="2:9" x14ac:dyDescent="0.3">
      <c r="B1193" s="50" t="s">
        <v>94</v>
      </c>
      <c r="I1193" s="8">
        <v>0.83333333333333337</v>
      </c>
    </row>
    <row r="1194" spans="2:9" x14ac:dyDescent="0.3">
      <c r="B1194" s="50" t="s">
        <v>94</v>
      </c>
      <c r="I1194" s="8">
        <v>0.83333333333333337</v>
      </c>
    </row>
    <row r="1195" spans="2:9" x14ac:dyDescent="0.3">
      <c r="B1195" s="50" t="s">
        <v>94</v>
      </c>
      <c r="I1195" s="8">
        <v>0.83333333333333337</v>
      </c>
    </row>
    <row r="1196" spans="2:9" x14ac:dyDescent="0.3">
      <c r="B1196" s="50" t="s">
        <v>94</v>
      </c>
      <c r="I1196" s="8">
        <v>0.83333333333333337</v>
      </c>
    </row>
    <row r="1197" spans="2:9" x14ac:dyDescent="0.3">
      <c r="B1197" s="50" t="s">
        <v>94</v>
      </c>
      <c r="I1197" s="8">
        <v>0.83333333333333337</v>
      </c>
    </row>
    <row r="1198" spans="2:9" x14ac:dyDescent="0.3">
      <c r="B1198" s="50" t="s">
        <v>94</v>
      </c>
      <c r="I1198" s="8">
        <v>0.83333333333333337</v>
      </c>
    </row>
    <row r="1199" spans="2:9" x14ac:dyDescent="0.3">
      <c r="B1199" s="50" t="s">
        <v>94</v>
      </c>
      <c r="I1199" s="8">
        <v>0.83333333333333337</v>
      </c>
    </row>
    <row r="1200" spans="2:9" x14ac:dyDescent="0.3">
      <c r="B1200" s="50" t="s">
        <v>94</v>
      </c>
      <c r="I1200" s="8">
        <v>0.83333333333333337</v>
      </c>
    </row>
    <row r="1201" spans="2:9" x14ac:dyDescent="0.3">
      <c r="B1201" s="50" t="s">
        <v>94</v>
      </c>
      <c r="I1201" s="8">
        <v>0.83333333333333337</v>
      </c>
    </row>
    <row r="1202" spans="2:9" x14ac:dyDescent="0.3">
      <c r="B1202" s="50" t="s">
        <v>94</v>
      </c>
      <c r="I1202" s="8">
        <v>0.83333333333333337</v>
      </c>
    </row>
    <row r="1203" spans="2:9" x14ac:dyDescent="0.3">
      <c r="B1203" s="50" t="s">
        <v>94</v>
      </c>
      <c r="I1203" s="8">
        <v>0.83333333333333337</v>
      </c>
    </row>
    <row r="1204" spans="2:9" x14ac:dyDescent="0.3">
      <c r="B1204" s="50" t="s">
        <v>94</v>
      </c>
      <c r="I1204" s="8">
        <v>0.83333333333333337</v>
      </c>
    </row>
    <row r="1205" spans="2:9" x14ac:dyDescent="0.3">
      <c r="B1205" s="50" t="s">
        <v>94</v>
      </c>
      <c r="I1205" s="8">
        <v>0.83333333333333337</v>
      </c>
    </row>
    <row r="1206" spans="2:9" x14ac:dyDescent="0.3">
      <c r="B1206" s="50" t="s">
        <v>94</v>
      </c>
      <c r="I1206" s="8">
        <v>0.83333333333333337</v>
      </c>
    </row>
    <row r="1207" spans="2:9" x14ac:dyDescent="0.3">
      <c r="B1207" s="50" t="s">
        <v>94</v>
      </c>
      <c r="I1207" s="8">
        <v>0.83333333333333337</v>
      </c>
    </row>
    <row r="1208" spans="2:9" x14ac:dyDescent="0.3">
      <c r="B1208" s="50" t="s">
        <v>94</v>
      </c>
      <c r="I1208" s="8">
        <v>0.83333333333333337</v>
      </c>
    </row>
    <row r="1209" spans="2:9" x14ac:dyDescent="0.3">
      <c r="B1209" s="50" t="s">
        <v>94</v>
      </c>
      <c r="I1209" s="8">
        <v>0.83333333333333337</v>
      </c>
    </row>
    <row r="1210" spans="2:9" x14ac:dyDescent="0.3">
      <c r="B1210" s="50" t="s">
        <v>94</v>
      </c>
      <c r="I1210" s="8">
        <v>0.83333333333333337</v>
      </c>
    </row>
    <row r="1211" spans="2:9" x14ac:dyDescent="0.3">
      <c r="B1211" s="50" t="s">
        <v>94</v>
      </c>
      <c r="I1211" s="8">
        <v>0.83333333333333337</v>
      </c>
    </row>
    <row r="1212" spans="2:9" x14ac:dyDescent="0.3">
      <c r="B1212" s="50" t="s">
        <v>94</v>
      </c>
      <c r="I1212" s="8">
        <v>0.83333333333333337</v>
      </c>
    </row>
    <row r="1213" spans="2:9" x14ac:dyDescent="0.3">
      <c r="B1213" s="50" t="s">
        <v>94</v>
      </c>
      <c r="I1213" s="8">
        <v>0.83333333333333337</v>
      </c>
    </row>
    <row r="1214" spans="2:9" x14ac:dyDescent="0.3">
      <c r="B1214" s="50" t="s">
        <v>94</v>
      </c>
      <c r="I1214" s="8">
        <v>0.83333333333333337</v>
      </c>
    </row>
    <row r="1215" spans="2:9" x14ac:dyDescent="0.3">
      <c r="B1215" s="50" t="s">
        <v>94</v>
      </c>
      <c r="I1215" s="8">
        <v>0.83333333333333337</v>
      </c>
    </row>
    <row r="1216" spans="2:9" x14ac:dyDescent="0.3">
      <c r="B1216" s="50" t="s">
        <v>94</v>
      </c>
      <c r="I1216" s="8">
        <v>0.83333333333333337</v>
      </c>
    </row>
    <row r="1217" spans="2:9" x14ac:dyDescent="0.3">
      <c r="B1217" s="50" t="s">
        <v>94</v>
      </c>
      <c r="I1217" s="8">
        <v>0.83333333333333337</v>
      </c>
    </row>
    <row r="1218" spans="2:9" x14ac:dyDescent="0.3">
      <c r="B1218" s="50" t="s">
        <v>94</v>
      </c>
      <c r="I1218" s="8">
        <v>0.83333333333333337</v>
      </c>
    </row>
    <row r="1219" spans="2:9" x14ac:dyDescent="0.3">
      <c r="B1219" s="50" t="s">
        <v>94</v>
      </c>
      <c r="I1219" s="8">
        <v>0.83333333333333337</v>
      </c>
    </row>
    <row r="1220" spans="2:9" x14ac:dyDescent="0.3">
      <c r="B1220" s="50" t="s">
        <v>94</v>
      </c>
      <c r="I1220" s="8">
        <v>0.83333333333333337</v>
      </c>
    </row>
    <row r="1221" spans="2:9" x14ac:dyDescent="0.3">
      <c r="B1221" s="50" t="s">
        <v>94</v>
      </c>
      <c r="I1221" s="8">
        <v>0.83333333333333337</v>
      </c>
    </row>
    <row r="1222" spans="2:9" x14ac:dyDescent="0.3">
      <c r="B1222" s="50" t="s">
        <v>94</v>
      </c>
      <c r="I1222" s="8">
        <v>0.83333333333333337</v>
      </c>
    </row>
    <row r="1223" spans="2:9" x14ac:dyDescent="0.3">
      <c r="B1223" s="50" t="s">
        <v>94</v>
      </c>
      <c r="I1223" s="8">
        <v>0.83333333333333337</v>
      </c>
    </row>
    <row r="1224" spans="2:9" x14ac:dyDescent="0.3">
      <c r="B1224" s="50" t="s">
        <v>94</v>
      </c>
      <c r="I1224" s="8">
        <v>0.83333333333333337</v>
      </c>
    </row>
    <row r="1225" spans="2:9" x14ac:dyDescent="0.3">
      <c r="B1225" s="50" t="s">
        <v>94</v>
      </c>
      <c r="I1225" s="8">
        <v>0.83333333333333337</v>
      </c>
    </row>
    <row r="1226" spans="2:9" x14ac:dyDescent="0.3">
      <c r="B1226" s="50" t="s">
        <v>94</v>
      </c>
      <c r="I1226" s="8">
        <v>0.83333333333333337</v>
      </c>
    </row>
    <row r="1227" spans="2:9" x14ac:dyDescent="0.3">
      <c r="B1227" s="50" t="s">
        <v>94</v>
      </c>
      <c r="I1227" s="8">
        <v>0.83333333333333337</v>
      </c>
    </row>
    <row r="1228" spans="2:9" x14ac:dyDescent="0.3">
      <c r="B1228" s="50" t="s">
        <v>94</v>
      </c>
      <c r="I1228" s="8">
        <v>0.83333333333333337</v>
      </c>
    </row>
    <row r="1229" spans="2:9" x14ac:dyDescent="0.3">
      <c r="B1229" s="50" t="s">
        <v>94</v>
      </c>
      <c r="I1229" s="8">
        <v>0.83333333333333337</v>
      </c>
    </row>
    <row r="1230" spans="2:9" x14ac:dyDescent="0.3">
      <c r="B1230" s="50" t="s">
        <v>94</v>
      </c>
      <c r="I1230" s="8">
        <v>0.83333333333333337</v>
      </c>
    </row>
    <row r="1231" spans="2:9" x14ac:dyDescent="0.3">
      <c r="B1231" s="50" t="s">
        <v>94</v>
      </c>
      <c r="I1231" s="8">
        <v>0.83333333333333337</v>
      </c>
    </row>
    <row r="1232" spans="2:9" x14ac:dyDescent="0.3">
      <c r="B1232" s="50" t="s">
        <v>94</v>
      </c>
      <c r="I1232" s="8">
        <v>0.83333333333333337</v>
      </c>
    </row>
    <row r="1233" spans="2:9" x14ac:dyDescent="0.3">
      <c r="B1233" s="50" t="s">
        <v>94</v>
      </c>
      <c r="I1233" s="8">
        <v>0.83333333333333337</v>
      </c>
    </row>
    <row r="1234" spans="2:9" x14ac:dyDescent="0.3">
      <c r="B1234" s="50" t="s">
        <v>94</v>
      </c>
      <c r="I1234" s="8">
        <v>0.83333333333333337</v>
      </c>
    </row>
    <row r="1235" spans="2:9" x14ac:dyDescent="0.3">
      <c r="B1235" s="50" t="s">
        <v>94</v>
      </c>
      <c r="I1235" s="8">
        <v>0.83333333333333337</v>
      </c>
    </row>
    <row r="1236" spans="2:9" x14ac:dyDescent="0.3">
      <c r="B1236" s="50" t="s">
        <v>94</v>
      </c>
      <c r="I1236" s="8">
        <v>0.83333333333333337</v>
      </c>
    </row>
    <row r="1237" spans="2:9" x14ac:dyDescent="0.3">
      <c r="B1237" s="50" t="s">
        <v>94</v>
      </c>
      <c r="I1237" s="8">
        <v>0.83333333333333337</v>
      </c>
    </row>
    <row r="1238" spans="2:9" x14ac:dyDescent="0.3">
      <c r="B1238" s="50" t="s">
        <v>94</v>
      </c>
      <c r="I1238" s="8">
        <v>0.83333333333333337</v>
      </c>
    </row>
    <row r="1239" spans="2:9" x14ac:dyDescent="0.3">
      <c r="B1239" s="50" t="s">
        <v>94</v>
      </c>
      <c r="I1239" s="8">
        <v>0.83333333333333337</v>
      </c>
    </row>
    <row r="1240" spans="2:9" x14ac:dyDescent="0.3">
      <c r="B1240" s="50" t="s">
        <v>94</v>
      </c>
      <c r="I1240" s="8">
        <v>0.83333333333333337</v>
      </c>
    </row>
    <row r="1241" spans="2:9" x14ac:dyDescent="0.3">
      <c r="B1241" s="50" t="s">
        <v>94</v>
      </c>
      <c r="I1241" s="8">
        <v>0.83333333333333337</v>
      </c>
    </row>
    <row r="1242" spans="2:9" x14ac:dyDescent="0.3">
      <c r="B1242" s="50" t="s">
        <v>94</v>
      </c>
      <c r="I1242" s="8">
        <v>0.83333333333333337</v>
      </c>
    </row>
    <row r="1243" spans="2:9" x14ac:dyDescent="0.3">
      <c r="B1243" s="50" t="s">
        <v>94</v>
      </c>
      <c r="I1243" s="8">
        <v>0.83333333333333337</v>
      </c>
    </row>
    <row r="1244" spans="2:9" x14ac:dyDescent="0.3">
      <c r="B1244" s="50" t="s">
        <v>94</v>
      </c>
      <c r="I1244" s="8">
        <v>0.83333333333333337</v>
      </c>
    </row>
    <row r="1245" spans="2:9" x14ac:dyDescent="0.3">
      <c r="B1245" s="50" t="s">
        <v>94</v>
      </c>
      <c r="I1245" s="8">
        <v>0.83333333333333337</v>
      </c>
    </row>
    <row r="1246" spans="2:9" x14ac:dyDescent="0.3">
      <c r="B1246" s="50" t="s">
        <v>94</v>
      </c>
      <c r="I1246" s="8">
        <v>0.83333333333333337</v>
      </c>
    </row>
    <row r="1247" spans="2:9" x14ac:dyDescent="0.3">
      <c r="B1247" s="50" t="s">
        <v>94</v>
      </c>
      <c r="I1247" s="8">
        <v>0.83333333333333337</v>
      </c>
    </row>
    <row r="1248" spans="2:9" x14ac:dyDescent="0.3">
      <c r="B1248" s="50" t="s">
        <v>94</v>
      </c>
      <c r="I1248" s="8">
        <v>0.83333333333333337</v>
      </c>
    </row>
    <row r="1249" spans="2:9" x14ac:dyDescent="0.3">
      <c r="B1249" s="50" t="s">
        <v>94</v>
      </c>
      <c r="I1249" s="8">
        <v>0.83333333333333337</v>
      </c>
    </row>
    <row r="1250" spans="2:9" x14ac:dyDescent="0.3">
      <c r="B1250" s="50" t="s">
        <v>94</v>
      </c>
      <c r="I1250" s="8">
        <v>0.83333333333333337</v>
      </c>
    </row>
    <row r="1251" spans="2:9" x14ac:dyDescent="0.3">
      <c r="B1251" s="50" t="s">
        <v>94</v>
      </c>
      <c r="I1251" s="8">
        <v>0.83333333333333337</v>
      </c>
    </row>
    <row r="1252" spans="2:9" x14ac:dyDescent="0.3">
      <c r="B1252" s="50" t="s">
        <v>94</v>
      </c>
      <c r="I1252" s="8">
        <v>0.83333333333333337</v>
      </c>
    </row>
    <row r="1253" spans="2:9" x14ac:dyDescent="0.3">
      <c r="B1253" s="50" t="s">
        <v>94</v>
      </c>
      <c r="I1253" s="8">
        <v>0.83333333333333337</v>
      </c>
    </row>
    <row r="1254" spans="2:9" x14ac:dyDescent="0.3">
      <c r="B1254" s="50" t="s">
        <v>94</v>
      </c>
      <c r="I1254" s="8">
        <v>0.83333333333333337</v>
      </c>
    </row>
    <row r="1255" spans="2:9" x14ac:dyDescent="0.3">
      <c r="B1255" s="50" t="s">
        <v>94</v>
      </c>
      <c r="I1255" s="8">
        <v>0.83333333333333337</v>
      </c>
    </row>
    <row r="1256" spans="2:9" x14ac:dyDescent="0.3">
      <c r="B1256" s="50" t="s">
        <v>94</v>
      </c>
      <c r="I1256" s="8">
        <v>0.83333333333333337</v>
      </c>
    </row>
    <row r="1257" spans="2:9" x14ac:dyDescent="0.3">
      <c r="B1257" s="50" t="s">
        <v>94</v>
      </c>
      <c r="I1257" s="8">
        <v>0.83333333333333337</v>
      </c>
    </row>
    <row r="1258" spans="2:9" x14ac:dyDescent="0.3">
      <c r="B1258" s="50" t="s">
        <v>94</v>
      </c>
      <c r="I1258" s="8">
        <v>0.83333333333333337</v>
      </c>
    </row>
    <row r="1259" spans="2:9" x14ac:dyDescent="0.3">
      <c r="B1259" s="50" t="s">
        <v>94</v>
      </c>
      <c r="I1259" s="8">
        <v>0.83333333333333337</v>
      </c>
    </row>
    <row r="1260" spans="2:9" x14ac:dyDescent="0.3">
      <c r="B1260" s="50" t="s">
        <v>94</v>
      </c>
      <c r="I1260" s="8">
        <v>0.83333333333333337</v>
      </c>
    </row>
    <row r="1261" spans="2:9" x14ac:dyDescent="0.3">
      <c r="B1261" s="50" t="s">
        <v>94</v>
      </c>
      <c r="I1261" s="8">
        <v>0.83333333333333337</v>
      </c>
    </row>
    <row r="1262" spans="2:9" x14ac:dyDescent="0.3">
      <c r="B1262" s="50" t="s">
        <v>94</v>
      </c>
      <c r="I1262" s="8">
        <v>0.83333333333333337</v>
      </c>
    </row>
    <row r="1263" spans="2:9" x14ac:dyDescent="0.3">
      <c r="B1263" s="50" t="s">
        <v>94</v>
      </c>
      <c r="I1263" s="8">
        <v>0.83333333333333337</v>
      </c>
    </row>
    <row r="1264" spans="2:9" x14ac:dyDescent="0.3">
      <c r="B1264" s="50" t="s">
        <v>94</v>
      </c>
      <c r="I1264" s="8">
        <v>0.83333333333333337</v>
      </c>
    </row>
    <row r="1265" spans="2:9" x14ac:dyDescent="0.3">
      <c r="B1265" s="50" t="s">
        <v>94</v>
      </c>
      <c r="I1265" s="8">
        <v>0.83333333333333337</v>
      </c>
    </row>
    <row r="1266" spans="2:9" x14ac:dyDescent="0.3">
      <c r="B1266" s="50" t="s">
        <v>94</v>
      </c>
      <c r="I1266" s="8">
        <v>0.83333333333333337</v>
      </c>
    </row>
    <row r="1267" spans="2:9" x14ac:dyDescent="0.3">
      <c r="B1267" s="50" t="s">
        <v>94</v>
      </c>
      <c r="I1267" s="8">
        <v>0.83333333333333337</v>
      </c>
    </row>
    <row r="1268" spans="2:9" x14ac:dyDescent="0.3">
      <c r="B1268" s="50" t="s">
        <v>94</v>
      </c>
      <c r="I1268" s="8">
        <v>0.83333333333333337</v>
      </c>
    </row>
    <row r="1269" spans="2:9" x14ac:dyDescent="0.3">
      <c r="B1269" s="50" t="s">
        <v>94</v>
      </c>
      <c r="I1269" s="8">
        <v>0.83333333333333337</v>
      </c>
    </row>
    <row r="1270" spans="2:9" x14ac:dyDescent="0.3">
      <c r="B1270" s="50" t="s">
        <v>94</v>
      </c>
      <c r="I1270" s="8">
        <v>0.83333333333333337</v>
      </c>
    </row>
    <row r="1271" spans="2:9" x14ac:dyDescent="0.3">
      <c r="B1271" s="50" t="s">
        <v>94</v>
      </c>
      <c r="I1271" s="8">
        <v>0.83333333333333337</v>
      </c>
    </row>
    <row r="1272" spans="2:9" x14ac:dyDescent="0.3">
      <c r="B1272" s="50" t="s">
        <v>94</v>
      </c>
      <c r="I1272" s="8">
        <v>0.83333333333333337</v>
      </c>
    </row>
    <row r="1273" spans="2:9" x14ac:dyDescent="0.3">
      <c r="B1273" s="50" t="s">
        <v>94</v>
      </c>
      <c r="I1273" s="8">
        <v>0.83333333333333337</v>
      </c>
    </row>
    <row r="1274" spans="2:9" x14ac:dyDescent="0.3">
      <c r="B1274" s="50" t="s">
        <v>94</v>
      </c>
      <c r="I1274" s="8">
        <v>0.83333333333333337</v>
      </c>
    </row>
    <row r="1275" spans="2:9" x14ac:dyDescent="0.3">
      <c r="B1275" s="50" t="s">
        <v>94</v>
      </c>
      <c r="I1275" s="8">
        <v>0.83333333333333337</v>
      </c>
    </row>
    <row r="1276" spans="2:9" x14ac:dyDescent="0.3">
      <c r="B1276" s="50" t="s">
        <v>94</v>
      </c>
      <c r="I1276" s="8">
        <v>0.83333333333333337</v>
      </c>
    </row>
    <row r="1277" spans="2:9" x14ac:dyDescent="0.3">
      <c r="B1277" s="50" t="s">
        <v>94</v>
      </c>
      <c r="I1277" s="8">
        <v>0.83333333333333337</v>
      </c>
    </row>
    <row r="1278" spans="2:9" x14ac:dyDescent="0.3">
      <c r="B1278" s="50" t="s">
        <v>94</v>
      </c>
      <c r="I1278" s="8">
        <v>0.83333333333333337</v>
      </c>
    </row>
    <row r="1279" spans="2:9" x14ac:dyDescent="0.3">
      <c r="B1279" s="50" t="s">
        <v>94</v>
      </c>
      <c r="I1279" s="8">
        <v>0.83333333333333337</v>
      </c>
    </row>
    <row r="1280" spans="2:9" x14ac:dyDescent="0.3">
      <c r="B1280" s="50" t="s">
        <v>94</v>
      </c>
      <c r="I1280" s="8">
        <v>0.83333333333333337</v>
      </c>
    </row>
    <row r="1281" spans="2:9" x14ac:dyDescent="0.3">
      <c r="B1281" s="50" t="s">
        <v>94</v>
      </c>
      <c r="I1281" s="8">
        <v>0.83333333333333337</v>
      </c>
    </row>
    <row r="1282" spans="2:9" x14ac:dyDescent="0.3">
      <c r="B1282" s="50" t="s">
        <v>94</v>
      </c>
      <c r="I1282" s="8">
        <v>0.83333333333333337</v>
      </c>
    </row>
    <row r="1283" spans="2:9" x14ac:dyDescent="0.3">
      <c r="B1283" s="50" t="s">
        <v>94</v>
      </c>
      <c r="I1283" s="8">
        <v>0.83333333333333337</v>
      </c>
    </row>
    <row r="1284" spans="2:9" x14ac:dyDescent="0.3">
      <c r="B1284" s="50" t="s">
        <v>94</v>
      </c>
      <c r="I1284" s="8">
        <v>0.83333333333333337</v>
      </c>
    </row>
    <row r="1285" spans="2:9" x14ac:dyDescent="0.3">
      <c r="B1285" s="50" t="s">
        <v>94</v>
      </c>
      <c r="I1285" s="8">
        <v>0.83333333333333337</v>
      </c>
    </row>
    <row r="1286" spans="2:9" x14ac:dyDescent="0.3">
      <c r="B1286" s="50" t="s">
        <v>94</v>
      </c>
      <c r="I1286" s="8">
        <v>0.83333333333333337</v>
      </c>
    </row>
    <row r="1287" spans="2:9" x14ac:dyDescent="0.3">
      <c r="B1287" s="50" t="s">
        <v>94</v>
      </c>
      <c r="I1287" s="8">
        <v>0.83333333333333337</v>
      </c>
    </row>
    <row r="1288" spans="2:9" x14ac:dyDescent="0.3">
      <c r="B1288" s="50" t="s">
        <v>94</v>
      </c>
      <c r="I1288" s="8">
        <v>0.83333333333333337</v>
      </c>
    </row>
    <row r="1289" spans="2:9" x14ac:dyDescent="0.3">
      <c r="B1289" s="50" t="s">
        <v>94</v>
      </c>
      <c r="I1289" s="8">
        <v>0.83333333333333337</v>
      </c>
    </row>
    <row r="1290" spans="2:9" x14ac:dyDescent="0.3">
      <c r="B1290" s="50" t="s">
        <v>94</v>
      </c>
      <c r="I1290" s="8">
        <v>0.83333333333333337</v>
      </c>
    </row>
    <row r="1291" spans="2:9" x14ac:dyDescent="0.3">
      <c r="B1291" s="50" t="s">
        <v>94</v>
      </c>
      <c r="I1291" s="8">
        <v>0.83333333333333337</v>
      </c>
    </row>
    <row r="1292" spans="2:9" x14ac:dyDescent="0.3">
      <c r="B1292" s="50" t="s">
        <v>94</v>
      </c>
      <c r="I1292" s="8">
        <v>0.83333333333333337</v>
      </c>
    </row>
    <row r="1293" spans="2:9" x14ac:dyDescent="0.3">
      <c r="B1293" s="50" t="s">
        <v>94</v>
      </c>
      <c r="I1293" s="8">
        <v>0.83333333333333337</v>
      </c>
    </row>
    <row r="1294" spans="2:9" x14ac:dyDescent="0.3">
      <c r="B1294" s="50" t="s">
        <v>94</v>
      </c>
      <c r="I1294" s="8">
        <v>0.83333333333333337</v>
      </c>
    </row>
    <row r="1295" spans="2:9" x14ac:dyDescent="0.3">
      <c r="B1295" s="50" t="s">
        <v>94</v>
      </c>
      <c r="I1295" s="8">
        <v>0.83333333333333337</v>
      </c>
    </row>
    <row r="1296" spans="2:9" x14ac:dyDescent="0.3">
      <c r="B1296" s="50" t="s">
        <v>94</v>
      </c>
      <c r="I1296" s="8">
        <v>0.83333333333333337</v>
      </c>
    </row>
    <row r="1297" spans="2:9" x14ac:dyDescent="0.3">
      <c r="B1297" s="50" t="s">
        <v>94</v>
      </c>
      <c r="I1297" s="8">
        <v>0.83333333333333337</v>
      </c>
    </row>
    <row r="1298" spans="2:9" x14ac:dyDescent="0.3">
      <c r="B1298" s="50" t="s">
        <v>94</v>
      </c>
      <c r="I1298" s="8">
        <v>0.83333333333333337</v>
      </c>
    </row>
    <row r="1299" spans="2:9" x14ac:dyDescent="0.3">
      <c r="B1299" s="50" t="s">
        <v>94</v>
      </c>
      <c r="I1299" s="8">
        <v>0.83333333333333337</v>
      </c>
    </row>
    <row r="1300" spans="2:9" x14ac:dyDescent="0.3">
      <c r="B1300" s="50" t="s">
        <v>94</v>
      </c>
      <c r="I1300" s="8">
        <v>0.83333333333333337</v>
      </c>
    </row>
    <row r="1301" spans="2:9" x14ac:dyDescent="0.3">
      <c r="B1301" s="50" t="s">
        <v>94</v>
      </c>
      <c r="I1301" s="8">
        <v>0.83333333333333337</v>
      </c>
    </row>
    <row r="1302" spans="2:9" x14ac:dyDescent="0.3">
      <c r="B1302" s="50" t="s">
        <v>94</v>
      </c>
      <c r="I1302" s="8">
        <v>0.83333333333333337</v>
      </c>
    </row>
    <row r="1303" spans="2:9" x14ac:dyDescent="0.3">
      <c r="B1303" s="50" t="s">
        <v>94</v>
      </c>
      <c r="I1303" s="8">
        <v>0.83333333333333337</v>
      </c>
    </row>
    <row r="1304" spans="2:9" x14ac:dyDescent="0.3">
      <c r="B1304" s="50" t="s">
        <v>94</v>
      </c>
      <c r="I1304" s="8">
        <v>0.83333333333333337</v>
      </c>
    </row>
    <row r="1305" spans="2:9" x14ac:dyDescent="0.3">
      <c r="B1305" s="50" t="s">
        <v>94</v>
      </c>
      <c r="I1305" s="8">
        <v>0.83333333333333337</v>
      </c>
    </row>
    <row r="1306" spans="2:9" x14ac:dyDescent="0.3">
      <c r="B1306" s="50" t="s">
        <v>94</v>
      </c>
      <c r="I1306" s="8">
        <v>0.83333333333333337</v>
      </c>
    </row>
    <row r="1307" spans="2:9" x14ac:dyDescent="0.3">
      <c r="B1307" s="50" t="s">
        <v>94</v>
      </c>
      <c r="I1307" s="8">
        <v>0.83333333333333337</v>
      </c>
    </row>
    <row r="1308" spans="2:9" x14ac:dyDescent="0.3">
      <c r="B1308" s="50" t="s">
        <v>94</v>
      </c>
      <c r="I1308" s="8">
        <v>0.83333333333333337</v>
      </c>
    </row>
    <row r="1309" spans="2:9" x14ac:dyDescent="0.3">
      <c r="B1309" s="50" t="s">
        <v>94</v>
      </c>
      <c r="I1309" s="8">
        <v>0.83333333333333337</v>
      </c>
    </row>
    <row r="1310" spans="2:9" x14ac:dyDescent="0.3">
      <c r="B1310" s="50" t="s">
        <v>94</v>
      </c>
      <c r="I1310" s="8">
        <v>0.83333333333333337</v>
      </c>
    </row>
    <row r="1311" spans="2:9" x14ac:dyDescent="0.3">
      <c r="B1311" s="50" t="s">
        <v>94</v>
      </c>
      <c r="I1311" s="8">
        <v>0.83333333333333337</v>
      </c>
    </row>
    <row r="1312" spans="2:9" x14ac:dyDescent="0.3">
      <c r="B1312" s="50" t="s">
        <v>94</v>
      </c>
      <c r="I1312" s="8">
        <v>0.83333333333333337</v>
      </c>
    </row>
    <row r="1313" spans="2:9" x14ac:dyDescent="0.3">
      <c r="B1313" s="50" t="s">
        <v>94</v>
      </c>
      <c r="I1313" s="8">
        <v>0.83333333333333337</v>
      </c>
    </row>
    <row r="1314" spans="2:9" x14ac:dyDescent="0.3">
      <c r="B1314" s="50" t="s">
        <v>94</v>
      </c>
      <c r="I1314" s="8">
        <v>0.83333333333333337</v>
      </c>
    </row>
    <row r="1315" spans="2:9" x14ac:dyDescent="0.3">
      <c r="B1315" s="50" t="s">
        <v>94</v>
      </c>
      <c r="I1315" s="8">
        <v>0.83333333333333337</v>
      </c>
    </row>
    <row r="1316" spans="2:9" x14ac:dyDescent="0.3">
      <c r="B1316" s="50" t="s">
        <v>94</v>
      </c>
      <c r="I1316" s="8">
        <v>0.83333333333333337</v>
      </c>
    </row>
    <row r="1317" spans="2:9" x14ac:dyDescent="0.3">
      <c r="B1317" s="50" t="s">
        <v>94</v>
      </c>
      <c r="I1317" s="8">
        <v>0.83333333333333337</v>
      </c>
    </row>
    <row r="1318" spans="2:9" x14ac:dyDescent="0.3">
      <c r="B1318" s="50" t="s">
        <v>94</v>
      </c>
      <c r="I1318" s="8">
        <v>0.83333333333333337</v>
      </c>
    </row>
    <row r="1319" spans="2:9" x14ac:dyDescent="0.3">
      <c r="B1319" s="50" t="s">
        <v>94</v>
      </c>
      <c r="I1319" s="8">
        <v>0.83333333333333337</v>
      </c>
    </row>
    <row r="1320" spans="2:9" x14ac:dyDescent="0.3">
      <c r="B1320" s="50" t="s">
        <v>94</v>
      </c>
      <c r="I1320" s="8">
        <v>0.83333333333333337</v>
      </c>
    </row>
    <row r="1321" spans="2:9" x14ac:dyDescent="0.3">
      <c r="B1321" s="50" t="s">
        <v>94</v>
      </c>
      <c r="I1321" s="8">
        <v>0.83333333333333337</v>
      </c>
    </row>
    <row r="1322" spans="2:9" x14ac:dyDescent="0.3">
      <c r="B1322" s="50" t="s">
        <v>94</v>
      </c>
      <c r="I1322" s="8">
        <v>0.83333333333333337</v>
      </c>
    </row>
    <row r="1323" spans="2:9" x14ac:dyDescent="0.3">
      <c r="B1323" s="50" t="s">
        <v>94</v>
      </c>
      <c r="I1323" s="8">
        <v>0.83333333333333337</v>
      </c>
    </row>
    <row r="1324" spans="2:9" x14ac:dyDescent="0.3">
      <c r="B1324" s="50" t="s">
        <v>94</v>
      </c>
      <c r="I1324" s="8">
        <v>0.83333333333333337</v>
      </c>
    </row>
    <row r="1325" spans="2:9" x14ac:dyDescent="0.3">
      <c r="B1325" s="50" t="s">
        <v>94</v>
      </c>
      <c r="I1325" s="8">
        <v>0.83333333333333337</v>
      </c>
    </row>
    <row r="1326" spans="2:9" x14ac:dyDescent="0.3">
      <c r="B1326" s="50" t="s">
        <v>94</v>
      </c>
      <c r="I1326" s="8">
        <v>0.83333333333333337</v>
      </c>
    </row>
    <row r="1327" spans="2:9" x14ac:dyDescent="0.3">
      <c r="B1327" s="50" t="s">
        <v>94</v>
      </c>
      <c r="I1327" s="8">
        <v>0.83333333333333337</v>
      </c>
    </row>
    <row r="1328" spans="2:9" x14ac:dyDescent="0.3">
      <c r="B1328" s="50" t="s">
        <v>94</v>
      </c>
      <c r="I1328" s="8">
        <v>0.83333333333333337</v>
      </c>
    </row>
    <row r="1329" spans="2:9" x14ac:dyDescent="0.3">
      <c r="B1329" s="50" t="s">
        <v>94</v>
      </c>
      <c r="I1329" s="8">
        <v>0.83333333333333337</v>
      </c>
    </row>
    <row r="1330" spans="2:9" x14ac:dyDescent="0.3">
      <c r="B1330" s="50" t="s">
        <v>94</v>
      </c>
      <c r="I1330" s="8">
        <v>0.83333333333333337</v>
      </c>
    </row>
    <row r="1331" spans="2:9" x14ac:dyDescent="0.3">
      <c r="B1331" s="50" t="s">
        <v>94</v>
      </c>
      <c r="I1331" s="8">
        <v>0.83333333333333337</v>
      </c>
    </row>
    <row r="1332" spans="2:9" x14ac:dyDescent="0.3">
      <c r="B1332" s="50" t="s">
        <v>94</v>
      </c>
      <c r="I1332" s="8">
        <v>0.83333333333333337</v>
      </c>
    </row>
    <row r="1333" spans="2:9" x14ac:dyDescent="0.3">
      <c r="B1333" s="50" t="s">
        <v>94</v>
      </c>
      <c r="I1333" s="8">
        <v>0.83333333333333337</v>
      </c>
    </row>
    <row r="1334" spans="2:9" x14ac:dyDescent="0.3">
      <c r="B1334" s="50" t="s">
        <v>94</v>
      </c>
      <c r="I1334" s="8">
        <v>0.83333333333333337</v>
      </c>
    </row>
    <row r="1335" spans="2:9" x14ac:dyDescent="0.3">
      <c r="B1335" s="50" t="s">
        <v>94</v>
      </c>
      <c r="I1335" s="8">
        <v>0.83333333333333337</v>
      </c>
    </row>
    <row r="1336" spans="2:9" x14ac:dyDescent="0.3">
      <c r="B1336" s="50" t="s">
        <v>94</v>
      </c>
      <c r="I1336" s="8">
        <v>0.83333333333333337</v>
      </c>
    </row>
    <row r="1337" spans="2:9" x14ac:dyDescent="0.3">
      <c r="B1337" s="50" t="s">
        <v>94</v>
      </c>
      <c r="I1337" s="8">
        <v>0.83333333333333337</v>
      </c>
    </row>
    <row r="1338" spans="2:9" x14ac:dyDescent="0.3">
      <c r="B1338" s="50" t="s">
        <v>94</v>
      </c>
      <c r="I1338" s="8">
        <v>0.83333333333333337</v>
      </c>
    </row>
    <row r="1339" spans="2:9" x14ac:dyDescent="0.3">
      <c r="B1339" s="50" t="s">
        <v>94</v>
      </c>
      <c r="I1339" s="8">
        <v>0.83333333333333337</v>
      </c>
    </row>
    <row r="1340" spans="2:9" x14ac:dyDescent="0.3">
      <c r="B1340" s="50" t="s">
        <v>94</v>
      </c>
      <c r="I1340" s="8">
        <v>0.83333333333333337</v>
      </c>
    </row>
    <row r="1341" spans="2:9" x14ac:dyDescent="0.3">
      <c r="B1341" s="50" t="s">
        <v>94</v>
      </c>
      <c r="I1341" s="8">
        <v>0.83333333333333337</v>
      </c>
    </row>
    <row r="1342" spans="2:9" x14ac:dyDescent="0.3">
      <c r="B1342" s="50" t="s">
        <v>94</v>
      </c>
      <c r="I1342" s="8">
        <v>0.83333333333333337</v>
      </c>
    </row>
    <row r="1343" spans="2:9" x14ac:dyDescent="0.3">
      <c r="B1343" s="50" t="s">
        <v>94</v>
      </c>
      <c r="I1343" s="8">
        <v>0.83333333333333337</v>
      </c>
    </row>
    <row r="1344" spans="2:9" x14ac:dyDescent="0.3">
      <c r="B1344" s="50" t="s">
        <v>94</v>
      </c>
      <c r="I1344" s="8">
        <v>0.83333333333333337</v>
      </c>
    </row>
    <row r="1345" spans="2:9" x14ac:dyDescent="0.3">
      <c r="B1345" s="50" t="s">
        <v>94</v>
      </c>
      <c r="I1345" s="8">
        <v>0.83333333333333337</v>
      </c>
    </row>
    <row r="1346" spans="2:9" x14ac:dyDescent="0.3">
      <c r="B1346" s="50" t="s">
        <v>94</v>
      </c>
      <c r="I1346" s="8">
        <v>0.83333333333333337</v>
      </c>
    </row>
    <row r="1347" spans="2:9" x14ac:dyDescent="0.3">
      <c r="B1347" s="50" t="s">
        <v>94</v>
      </c>
      <c r="I1347" s="8">
        <v>0.83333333333333337</v>
      </c>
    </row>
    <row r="1348" spans="2:9" x14ac:dyDescent="0.3">
      <c r="B1348" s="50" t="s">
        <v>94</v>
      </c>
      <c r="I1348" s="8">
        <v>0.83333333333333337</v>
      </c>
    </row>
    <row r="1349" spans="2:9" x14ac:dyDescent="0.3">
      <c r="B1349" s="50" t="s">
        <v>94</v>
      </c>
      <c r="I1349" s="8">
        <v>0.83333333333333337</v>
      </c>
    </row>
    <row r="1350" spans="2:9" x14ac:dyDescent="0.3">
      <c r="B1350" s="50" t="s">
        <v>94</v>
      </c>
      <c r="I1350" s="8">
        <v>0.83333333333333337</v>
      </c>
    </row>
    <row r="1351" spans="2:9" x14ac:dyDescent="0.3">
      <c r="B1351" s="50" t="s">
        <v>94</v>
      </c>
      <c r="I1351" s="8">
        <v>0.83333333333333337</v>
      </c>
    </row>
    <row r="1352" spans="2:9" x14ac:dyDescent="0.3">
      <c r="B1352" s="50" t="s">
        <v>94</v>
      </c>
      <c r="I1352" s="8">
        <v>0.83333333333333337</v>
      </c>
    </row>
    <row r="1353" spans="2:9" x14ac:dyDescent="0.3">
      <c r="B1353" s="50" t="s">
        <v>94</v>
      </c>
      <c r="I1353" s="8">
        <v>0.83333333333333337</v>
      </c>
    </row>
    <row r="1354" spans="2:9" x14ac:dyDescent="0.3">
      <c r="B1354" s="50" t="s">
        <v>94</v>
      </c>
      <c r="I1354" s="8">
        <v>0.83333333333333337</v>
      </c>
    </row>
    <row r="1355" spans="2:9" x14ac:dyDescent="0.3">
      <c r="B1355" s="50" t="s">
        <v>94</v>
      </c>
      <c r="I1355" s="8">
        <v>0.83333333333333337</v>
      </c>
    </row>
    <row r="1356" spans="2:9" x14ac:dyDescent="0.3">
      <c r="B1356" s="50" t="s">
        <v>94</v>
      </c>
      <c r="I1356" s="8">
        <v>0.83333333333333337</v>
      </c>
    </row>
    <row r="1357" spans="2:9" x14ac:dyDescent="0.3">
      <c r="B1357" s="50" t="s">
        <v>94</v>
      </c>
      <c r="I1357" s="8">
        <v>0.83333333333333337</v>
      </c>
    </row>
    <row r="1358" spans="2:9" x14ac:dyDescent="0.3">
      <c r="B1358" s="50" t="s">
        <v>94</v>
      </c>
      <c r="I1358" s="8">
        <v>0.83333333333333337</v>
      </c>
    </row>
    <row r="1359" spans="2:9" x14ac:dyDescent="0.3">
      <c r="B1359" s="50" t="s">
        <v>94</v>
      </c>
      <c r="I1359" s="8">
        <v>0.83333333333333337</v>
      </c>
    </row>
    <row r="1360" spans="2:9" x14ac:dyDescent="0.3">
      <c r="B1360" s="50" t="s">
        <v>94</v>
      </c>
      <c r="I1360" s="8">
        <v>0.83333333333333337</v>
      </c>
    </row>
    <row r="1361" spans="2:9" x14ac:dyDescent="0.3">
      <c r="B1361" s="50" t="s">
        <v>94</v>
      </c>
      <c r="I1361" s="8">
        <v>0.83333333333333337</v>
      </c>
    </row>
    <row r="1362" spans="2:9" x14ac:dyDescent="0.3">
      <c r="B1362" s="50" t="s">
        <v>94</v>
      </c>
      <c r="I1362" s="8">
        <v>0.83333333333333337</v>
      </c>
    </row>
    <row r="1363" spans="2:9" x14ac:dyDescent="0.3">
      <c r="B1363" s="50" t="s">
        <v>94</v>
      </c>
      <c r="I1363" s="8">
        <v>0.83333333333333337</v>
      </c>
    </row>
    <row r="1364" spans="2:9" x14ac:dyDescent="0.3">
      <c r="B1364" s="50" t="s">
        <v>94</v>
      </c>
      <c r="I1364" s="8">
        <v>0.83333333333333337</v>
      </c>
    </row>
    <row r="1365" spans="2:9" x14ac:dyDescent="0.3">
      <c r="B1365" s="50" t="s">
        <v>94</v>
      </c>
      <c r="I1365" s="8">
        <v>0.83333333333333337</v>
      </c>
    </row>
    <row r="1366" spans="2:9" x14ac:dyDescent="0.3">
      <c r="B1366" s="50" t="s">
        <v>94</v>
      </c>
      <c r="I1366" s="8">
        <v>0.83333333333333337</v>
      </c>
    </row>
    <row r="1367" spans="2:9" x14ac:dyDescent="0.3">
      <c r="B1367" s="50" t="s">
        <v>94</v>
      </c>
      <c r="I1367" s="8">
        <v>0.83333333333333337</v>
      </c>
    </row>
    <row r="1368" spans="2:9" x14ac:dyDescent="0.3">
      <c r="B1368" s="50" t="s">
        <v>94</v>
      </c>
      <c r="I1368" s="8">
        <v>0.83333333333333337</v>
      </c>
    </row>
    <row r="1369" spans="2:9" x14ac:dyDescent="0.3">
      <c r="B1369" s="50" t="s">
        <v>94</v>
      </c>
      <c r="I1369" s="8">
        <v>0.83333333333333337</v>
      </c>
    </row>
    <row r="1370" spans="2:9" x14ac:dyDescent="0.3">
      <c r="B1370" s="50" t="s">
        <v>94</v>
      </c>
      <c r="I1370" s="8">
        <v>0.83333333333333337</v>
      </c>
    </row>
    <row r="1371" spans="2:9" x14ac:dyDescent="0.3">
      <c r="B1371" s="50" t="s">
        <v>94</v>
      </c>
      <c r="I1371" s="8">
        <v>0.83333333333333337</v>
      </c>
    </row>
    <row r="1372" spans="2:9" x14ac:dyDescent="0.3">
      <c r="B1372" s="50" t="s">
        <v>94</v>
      </c>
      <c r="I1372" s="8">
        <v>0.83333333333333337</v>
      </c>
    </row>
    <row r="1373" spans="2:9" x14ac:dyDescent="0.3">
      <c r="B1373" s="50" t="s">
        <v>94</v>
      </c>
      <c r="I1373" s="8">
        <v>0.83333333333333337</v>
      </c>
    </row>
    <row r="1374" spans="2:9" x14ac:dyDescent="0.3">
      <c r="B1374" s="50" t="s">
        <v>94</v>
      </c>
      <c r="I1374" s="8">
        <v>0.83333333333333337</v>
      </c>
    </row>
    <row r="1375" spans="2:9" x14ac:dyDescent="0.3">
      <c r="B1375" s="50" t="s">
        <v>94</v>
      </c>
      <c r="I1375" s="8">
        <v>0.83333333333333337</v>
      </c>
    </row>
    <row r="1376" spans="2:9" x14ac:dyDescent="0.3">
      <c r="B1376" s="50" t="s">
        <v>94</v>
      </c>
      <c r="I1376" s="8">
        <v>0.83333333333333337</v>
      </c>
    </row>
    <row r="1377" spans="2:9" x14ac:dyDescent="0.3">
      <c r="B1377" s="50" t="s">
        <v>94</v>
      </c>
      <c r="I1377" s="8">
        <v>0.83333333333333337</v>
      </c>
    </row>
    <row r="1378" spans="2:9" x14ac:dyDescent="0.3">
      <c r="B1378" s="50" t="s">
        <v>94</v>
      </c>
      <c r="I1378" s="8">
        <v>0.83333333333333337</v>
      </c>
    </row>
    <row r="1379" spans="2:9" x14ac:dyDescent="0.3">
      <c r="B1379" s="50" t="s">
        <v>94</v>
      </c>
      <c r="I1379" s="8">
        <v>0.83333333333333337</v>
      </c>
    </row>
    <row r="1380" spans="2:9" x14ac:dyDescent="0.3">
      <c r="B1380" s="50" t="s">
        <v>94</v>
      </c>
      <c r="I1380" s="8">
        <v>0.83333333333333337</v>
      </c>
    </row>
    <row r="1381" spans="2:9" x14ac:dyDescent="0.3">
      <c r="B1381" s="50" t="s">
        <v>94</v>
      </c>
      <c r="I1381" s="8">
        <v>0.83333333333333337</v>
      </c>
    </row>
    <row r="1382" spans="2:9" x14ac:dyDescent="0.3">
      <c r="B1382" s="50" t="s">
        <v>94</v>
      </c>
      <c r="I1382" s="8">
        <v>0.83333333333333337</v>
      </c>
    </row>
    <row r="1383" spans="2:9" x14ac:dyDescent="0.3">
      <c r="B1383" s="50" t="s">
        <v>94</v>
      </c>
      <c r="I1383" s="8">
        <v>0.83333333333333337</v>
      </c>
    </row>
    <row r="1384" spans="2:9" x14ac:dyDescent="0.3">
      <c r="B1384" s="50" t="s">
        <v>94</v>
      </c>
      <c r="I1384" s="8">
        <v>0.83333333333333337</v>
      </c>
    </row>
    <row r="1385" spans="2:9" x14ac:dyDescent="0.3">
      <c r="B1385" s="50" t="s">
        <v>94</v>
      </c>
      <c r="I1385" s="8">
        <v>0.83333333333333337</v>
      </c>
    </row>
    <row r="1386" spans="2:9" x14ac:dyDescent="0.3">
      <c r="B1386" s="50" t="s">
        <v>94</v>
      </c>
      <c r="I1386" s="8">
        <v>0.83333333333333337</v>
      </c>
    </row>
    <row r="1387" spans="2:9" x14ac:dyDescent="0.3">
      <c r="B1387" s="50" t="s">
        <v>94</v>
      </c>
      <c r="I1387" s="8">
        <v>0.83333333333333337</v>
      </c>
    </row>
    <row r="1388" spans="2:9" x14ac:dyDescent="0.3">
      <c r="B1388" s="50" t="s">
        <v>94</v>
      </c>
      <c r="I1388" s="8">
        <v>0.83333333333333337</v>
      </c>
    </row>
    <row r="1389" spans="2:9" x14ac:dyDescent="0.3">
      <c r="B1389" s="50" t="s">
        <v>94</v>
      </c>
      <c r="I1389" s="8">
        <v>0.83333333333333337</v>
      </c>
    </row>
    <row r="1390" spans="2:9" x14ac:dyDescent="0.3">
      <c r="B1390" s="50" t="s">
        <v>94</v>
      </c>
      <c r="I1390" s="8">
        <v>0.83333333333333337</v>
      </c>
    </row>
    <row r="1391" spans="2:9" x14ac:dyDescent="0.3">
      <c r="B1391" s="50" t="s">
        <v>94</v>
      </c>
      <c r="I1391" s="8">
        <v>0.83333333333333337</v>
      </c>
    </row>
    <row r="1392" spans="2:9" x14ac:dyDescent="0.3">
      <c r="B1392" s="50" t="s">
        <v>94</v>
      </c>
      <c r="I1392" s="8">
        <v>0.83333333333333337</v>
      </c>
    </row>
    <row r="1393" spans="2:9" x14ac:dyDescent="0.3">
      <c r="B1393" s="50" t="s">
        <v>94</v>
      </c>
      <c r="I1393" s="8">
        <v>0.83333333333333337</v>
      </c>
    </row>
    <row r="1394" spans="2:9" x14ac:dyDescent="0.3">
      <c r="B1394" s="50" t="s">
        <v>94</v>
      </c>
      <c r="I1394" s="8">
        <v>0.83333333333333337</v>
      </c>
    </row>
    <row r="1395" spans="2:9" x14ac:dyDescent="0.3">
      <c r="B1395" s="50" t="s">
        <v>94</v>
      </c>
      <c r="I1395" s="8">
        <v>0.83333333333333337</v>
      </c>
    </row>
    <row r="1396" spans="2:9" x14ac:dyDescent="0.3">
      <c r="B1396" s="50" t="s">
        <v>94</v>
      </c>
      <c r="I1396" s="8">
        <v>0.83333333333333337</v>
      </c>
    </row>
    <row r="1397" spans="2:9" x14ac:dyDescent="0.3">
      <c r="B1397" s="50" t="s">
        <v>94</v>
      </c>
      <c r="I1397" s="8">
        <v>0.83333333333333337</v>
      </c>
    </row>
    <row r="1398" spans="2:9" x14ac:dyDescent="0.3">
      <c r="B1398" s="50" t="s">
        <v>94</v>
      </c>
      <c r="I1398" s="8">
        <v>0.83333333333333337</v>
      </c>
    </row>
    <row r="1399" spans="2:9" x14ac:dyDescent="0.3">
      <c r="B1399" s="50" t="s">
        <v>94</v>
      </c>
      <c r="I1399" s="8">
        <v>0.83333333333333337</v>
      </c>
    </row>
    <row r="1400" spans="2:9" x14ac:dyDescent="0.3">
      <c r="B1400" s="50" t="s">
        <v>94</v>
      </c>
      <c r="I1400" s="8">
        <v>0.83333333333333337</v>
      </c>
    </row>
    <row r="1401" spans="2:9" x14ac:dyDescent="0.3">
      <c r="B1401" s="50" t="s">
        <v>94</v>
      </c>
      <c r="I1401" s="8">
        <v>0.83333333333333337</v>
      </c>
    </row>
    <row r="1402" spans="2:9" x14ac:dyDescent="0.3">
      <c r="B1402" s="50" t="s">
        <v>94</v>
      </c>
      <c r="I1402" s="8">
        <v>0.83333333333333337</v>
      </c>
    </row>
    <row r="1403" spans="2:9" x14ac:dyDescent="0.3">
      <c r="B1403" s="50" t="s">
        <v>94</v>
      </c>
      <c r="I1403" s="8">
        <v>0.83333333333333337</v>
      </c>
    </row>
    <row r="1404" spans="2:9" x14ac:dyDescent="0.3">
      <c r="B1404" s="50" t="s">
        <v>94</v>
      </c>
      <c r="I1404" s="8">
        <v>0.83333333333333337</v>
      </c>
    </row>
    <row r="1405" spans="2:9" x14ac:dyDescent="0.3">
      <c r="B1405" s="50" t="s">
        <v>94</v>
      </c>
      <c r="I1405" s="8">
        <v>0.83333333333333337</v>
      </c>
    </row>
    <row r="1406" spans="2:9" x14ac:dyDescent="0.3">
      <c r="B1406" s="50" t="s">
        <v>94</v>
      </c>
      <c r="I1406" s="8">
        <v>0.83333333333333337</v>
      </c>
    </row>
    <row r="1407" spans="2:9" x14ac:dyDescent="0.3">
      <c r="B1407" s="50" t="s">
        <v>94</v>
      </c>
      <c r="I1407" s="8">
        <v>0.83333333333333337</v>
      </c>
    </row>
    <row r="1408" spans="2:9" x14ac:dyDescent="0.3">
      <c r="B1408" s="50" t="s">
        <v>94</v>
      </c>
      <c r="I1408" s="8">
        <v>0.83333333333333337</v>
      </c>
    </row>
    <row r="1409" spans="2:9" x14ac:dyDescent="0.3">
      <c r="B1409" s="50" t="s">
        <v>94</v>
      </c>
      <c r="I1409" s="8">
        <v>0.83333333333333337</v>
      </c>
    </row>
    <row r="1410" spans="2:9" x14ac:dyDescent="0.3">
      <c r="B1410" s="50" t="s">
        <v>94</v>
      </c>
      <c r="I1410" s="8">
        <v>0.83333333333333337</v>
      </c>
    </row>
    <row r="1411" spans="2:9" x14ac:dyDescent="0.3">
      <c r="B1411" s="50" t="s">
        <v>94</v>
      </c>
      <c r="I1411" s="8">
        <v>0.83333333333333337</v>
      </c>
    </row>
    <row r="1412" spans="2:9" x14ac:dyDescent="0.3">
      <c r="B1412" s="50" t="s">
        <v>94</v>
      </c>
      <c r="I1412" s="8">
        <v>0.83333333333333337</v>
      </c>
    </row>
    <row r="1413" spans="2:9" x14ac:dyDescent="0.3">
      <c r="B1413" s="50" t="s">
        <v>94</v>
      </c>
      <c r="I1413" s="8">
        <v>0.83333333333333337</v>
      </c>
    </row>
    <row r="1414" spans="2:9" x14ac:dyDescent="0.3">
      <c r="B1414" s="50" t="s">
        <v>94</v>
      </c>
      <c r="I1414" s="8">
        <v>0.83333333333333337</v>
      </c>
    </row>
    <row r="1415" spans="2:9" x14ac:dyDescent="0.3">
      <c r="B1415" s="50" t="s">
        <v>94</v>
      </c>
      <c r="I1415" s="8">
        <v>0.83333333333333337</v>
      </c>
    </row>
    <row r="1416" spans="2:9" x14ac:dyDescent="0.3">
      <c r="B1416" s="50" t="s">
        <v>94</v>
      </c>
      <c r="I1416" s="8">
        <v>0.83333333333333337</v>
      </c>
    </row>
    <row r="1417" spans="2:9" x14ac:dyDescent="0.3">
      <c r="B1417" s="50" t="s">
        <v>94</v>
      </c>
      <c r="I1417" s="8">
        <v>0.83333333333333337</v>
      </c>
    </row>
    <row r="1418" spans="2:9" x14ac:dyDescent="0.3">
      <c r="B1418" s="50" t="s">
        <v>94</v>
      </c>
      <c r="I1418" s="8">
        <v>0.83333333333333337</v>
      </c>
    </row>
    <row r="1419" spans="2:9" x14ac:dyDescent="0.3">
      <c r="B1419" s="50" t="s">
        <v>94</v>
      </c>
      <c r="I1419" s="8">
        <v>0.83333333333333337</v>
      </c>
    </row>
    <row r="1420" spans="2:9" x14ac:dyDescent="0.3">
      <c r="B1420" s="50" t="s">
        <v>94</v>
      </c>
      <c r="I1420" s="8">
        <v>0.83333333333333337</v>
      </c>
    </row>
    <row r="1421" spans="2:9" x14ac:dyDescent="0.3">
      <c r="B1421" s="50" t="s">
        <v>94</v>
      </c>
      <c r="I1421" s="8">
        <v>0.83333333333333337</v>
      </c>
    </row>
    <row r="1422" spans="2:9" x14ac:dyDescent="0.3">
      <c r="B1422" s="50" t="s">
        <v>94</v>
      </c>
      <c r="I1422" s="8">
        <v>0.83333333333333337</v>
      </c>
    </row>
    <row r="1423" spans="2:9" x14ac:dyDescent="0.3">
      <c r="B1423" s="50" t="s">
        <v>94</v>
      </c>
      <c r="I1423" s="8">
        <v>0.83333333333333337</v>
      </c>
    </row>
    <row r="1424" spans="2:9" x14ac:dyDescent="0.3">
      <c r="B1424" s="50" t="s">
        <v>94</v>
      </c>
      <c r="I1424" s="8">
        <v>0.83333333333333337</v>
      </c>
    </row>
    <row r="1425" spans="2:9" x14ac:dyDescent="0.3">
      <c r="B1425" s="50" t="s">
        <v>94</v>
      </c>
      <c r="I1425" s="8">
        <v>0.83333333333333337</v>
      </c>
    </row>
    <row r="1426" spans="2:9" x14ac:dyDescent="0.3">
      <c r="B1426" s="50" t="s">
        <v>94</v>
      </c>
      <c r="I1426" s="8">
        <v>0.83333333333333337</v>
      </c>
    </row>
    <row r="1427" spans="2:9" x14ac:dyDescent="0.3">
      <c r="B1427" s="50" t="s">
        <v>94</v>
      </c>
      <c r="I1427" s="8">
        <v>0.83333333333333337</v>
      </c>
    </row>
    <row r="1428" spans="2:9" x14ac:dyDescent="0.3">
      <c r="B1428" s="50" t="s">
        <v>94</v>
      </c>
      <c r="I1428" s="8">
        <v>0.83333333333333337</v>
      </c>
    </row>
    <row r="1429" spans="2:9" x14ac:dyDescent="0.3">
      <c r="B1429" s="50" t="s">
        <v>94</v>
      </c>
      <c r="I1429" s="8">
        <v>0.83333333333333337</v>
      </c>
    </row>
    <row r="1430" spans="2:9" x14ac:dyDescent="0.3">
      <c r="B1430" s="50" t="s">
        <v>94</v>
      </c>
      <c r="I1430" s="8">
        <v>0.83333333333333337</v>
      </c>
    </row>
    <row r="1431" spans="2:9" x14ac:dyDescent="0.3">
      <c r="B1431" s="50" t="s">
        <v>94</v>
      </c>
      <c r="I1431" s="8">
        <v>0.83333333333333337</v>
      </c>
    </row>
    <row r="1432" spans="2:9" x14ac:dyDescent="0.3">
      <c r="B1432" s="50" t="s">
        <v>94</v>
      </c>
      <c r="I1432" s="8">
        <v>0.83333333333333337</v>
      </c>
    </row>
    <row r="1433" spans="2:9" x14ac:dyDescent="0.3">
      <c r="B1433" s="50" t="s">
        <v>94</v>
      </c>
      <c r="I1433" s="8">
        <v>0.83333333333333337</v>
      </c>
    </row>
    <row r="1434" spans="2:9" x14ac:dyDescent="0.3">
      <c r="B1434" s="50" t="s">
        <v>94</v>
      </c>
      <c r="I1434" s="8">
        <v>0.83333333333333337</v>
      </c>
    </row>
    <row r="1435" spans="2:9" x14ac:dyDescent="0.3">
      <c r="B1435" s="50" t="s">
        <v>94</v>
      </c>
      <c r="I1435" s="8">
        <v>0.83333333333333337</v>
      </c>
    </row>
    <row r="1436" spans="2:9" x14ac:dyDescent="0.3">
      <c r="B1436" s="50" t="s">
        <v>94</v>
      </c>
      <c r="I1436" s="8">
        <v>0.83333333333333337</v>
      </c>
    </row>
    <row r="1437" spans="2:9" x14ac:dyDescent="0.3">
      <c r="B1437" s="50" t="s">
        <v>94</v>
      </c>
      <c r="I1437" s="8">
        <v>0.83333333333333337</v>
      </c>
    </row>
    <row r="1438" spans="2:9" x14ac:dyDescent="0.3">
      <c r="B1438" s="50" t="s">
        <v>94</v>
      </c>
      <c r="I1438" s="8">
        <v>0.83333333333333337</v>
      </c>
    </row>
    <row r="1439" spans="2:9" x14ac:dyDescent="0.3">
      <c r="B1439" s="50" t="s">
        <v>94</v>
      </c>
      <c r="I1439" s="8">
        <v>0.83333333333333337</v>
      </c>
    </row>
    <row r="1440" spans="2:9" x14ac:dyDescent="0.3">
      <c r="B1440" s="50" t="s">
        <v>94</v>
      </c>
      <c r="I1440" s="8">
        <v>0.83333333333333337</v>
      </c>
    </row>
    <row r="1441" spans="2:9" x14ac:dyDescent="0.3">
      <c r="B1441" s="50" t="s">
        <v>94</v>
      </c>
      <c r="I1441" s="8">
        <v>0.83333333333333337</v>
      </c>
    </row>
    <row r="1442" spans="2:9" x14ac:dyDescent="0.3">
      <c r="B1442" s="50" t="s">
        <v>94</v>
      </c>
      <c r="I1442" s="8">
        <v>0.83333333333333337</v>
      </c>
    </row>
    <row r="1443" spans="2:9" x14ac:dyDescent="0.3">
      <c r="B1443" s="50" t="s">
        <v>94</v>
      </c>
      <c r="I1443" s="8">
        <v>0.83333333333333337</v>
      </c>
    </row>
    <row r="1444" spans="2:9" x14ac:dyDescent="0.3">
      <c r="B1444" s="50" t="s">
        <v>94</v>
      </c>
      <c r="I1444" s="8">
        <v>0.83333333333333337</v>
      </c>
    </row>
    <row r="1445" spans="2:9" x14ac:dyDescent="0.3">
      <c r="B1445" s="50" t="s">
        <v>94</v>
      </c>
      <c r="I1445" s="8">
        <v>0.83333333333333337</v>
      </c>
    </row>
    <row r="1446" spans="2:9" x14ac:dyDescent="0.3">
      <c r="B1446" s="50" t="s">
        <v>94</v>
      </c>
      <c r="I1446" s="8">
        <v>0.83333333333333337</v>
      </c>
    </row>
    <row r="1447" spans="2:9" x14ac:dyDescent="0.3">
      <c r="B1447" s="50" t="s">
        <v>94</v>
      </c>
      <c r="I1447" s="8">
        <v>0.83333333333333337</v>
      </c>
    </row>
    <row r="1448" spans="2:9" x14ac:dyDescent="0.3">
      <c r="B1448" s="50" t="s">
        <v>94</v>
      </c>
      <c r="I1448" s="8">
        <v>0.83333333333333337</v>
      </c>
    </row>
    <row r="1449" spans="2:9" x14ac:dyDescent="0.3">
      <c r="B1449" s="50" t="s">
        <v>94</v>
      </c>
      <c r="I1449" s="8">
        <v>0.83333333333333337</v>
      </c>
    </row>
    <row r="1450" spans="2:9" x14ac:dyDescent="0.3">
      <c r="B1450" s="50" t="s">
        <v>94</v>
      </c>
      <c r="I1450" s="8">
        <v>0.83333333333333337</v>
      </c>
    </row>
    <row r="1451" spans="2:9" x14ac:dyDescent="0.3">
      <c r="B1451" s="50" t="s">
        <v>94</v>
      </c>
      <c r="I1451" s="8">
        <v>0.83333333333333337</v>
      </c>
    </row>
    <row r="1452" spans="2:9" x14ac:dyDescent="0.3">
      <c r="B1452" s="50" t="s">
        <v>94</v>
      </c>
      <c r="I1452" s="8">
        <v>0.83333333333333337</v>
      </c>
    </row>
    <row r="1453" spans="2:9" x14ac:dyDescent="0.3">
      <c r="B1453" s="50" t="s">
        <v>94</v>
      </c>
      <c r="I1453" s="8">
        <v>0.83333333333333337</v>
      </c>
    </row>
    <row r="1454" spans="2:9" x14ac:dyDescent="0.3">
      <c r="B1454" s="50" t="s">
        <v>94</v>
      </c>
      <c r="I1454" s="8">
        <v>0.83333333333333337</v>
      </c>
    </row>
    <row r="1455" spans="2:9" x14ac:dyDescent="0.3">
      <c r="B1455" s="50" t="s">
        <v>94</v>
      </c>
      <c r="I1455" s="8">
        <v>0.83333333333333337</v>
      </c>
    </row>
    <row r="1456" spans="2:9" x14ac:dyDescent="0.3">
      <c r="B1456" s="50" t="s">
        <v>94</v>
      </c>
      <c r="I1456" s="8">
        <v>0.83333333333333337</v>
      </c>
    </row>
    <row r="1457" spans="2:9" x14ac:dyDescent="0.3">
      <c r="B1457" s="50" t="s">
        <v>94</v>
      </c>
      <c r="I1457" s="8">
        <v>0.83333333333333337</v>
      </c>
    </row>
    <row r="1458" spans="2:9" x14ac:dyDescent="0.3">
      <c r="B1458" s="50" t="s">
        <v>94</v>
      </c>
      <c r="I1458" s="8">
        <v>0.83333333333333337</v>
      </c>
    </row>
    <row r="1459" spans="2:9" x14ac:dyDescent="0.3">
      <c r="B1459" s="50" t="s">
        <v>94</v>
      </c>
      <c r="I1459" s="8">
        <v>0.83333333333333337</v>
      </c>
    </row>
    <row r="1460" spans="2:9" x14ac:dyDescent="0.3">
      <c r="B1460" s="50" t="s">
        <v>94</v>
      </c>
      <c r="I1460" s="8">
        <v>0.83333333333333337</v>
      </c>
    </row>
    <row r="1461" spans="2:9" x14ac:dyDescent="0.3">
      <c r="B1461" s="50" t="s">
        <v>94</v>
      </c>
      <c r="I1461" s="8">
        <v>0.83333333333333337</v>
      </c>
    </row>
    <row r="1462" spans="2:9" x14ac:dyDescent="0.3">
      <c r="B1462" s="50" t="s">
        <v>94</v>
      </c>
      <c r="I1462" s="8">
        <v>0.83333333333333337</v>
      </c>
    </row>
    <row r="1463" spans="2:9" x14ac:dyDescent="0.3">
      <c r="B1463" s="50" t="s">
        <v>94</v>
      </c>
      <c r="I1463" s="8">
        <v>0.83333333333333337</v>
      </c>
    </row>
    <row r="1464" spans="2:9" x14ac:dyDescent="0.3">
      <c r="B1464" s="50" t="s">
        <v>94</v>
      </c>
      <c r="I1464" s="8">
        <v>0.83333333333333337</v>
      </c>
    </row>
    <row r="1465" spans="2:9" x14ac:dyDescent="0.3">
      <c r="B1465" s="50" t="s">
        <v>94</v>
      </c>
      <c r="I1465" s="8">
        <v>0.83333333333333337</v>
      </c>
    </row>
    <row r="1466" spans="2:9" x14ac:dyDescent="0.3">
      <c r="B1466" s="50" t="s">
        <v>94</v>
      </c>
      <c r="I1466" s="8">
        <v>0.83333333333333337</v>
      </c>
    </row>
    <row r="1467" spans="2:9" x14ac:dyDescent="0.3">
      <c r="B1467" s="50" t="s">
        <v>94</v>
      </c>
      <c r="I1467" s="8">
        <v>0.83333333333333337</v>
      </c>
    </row>
    <row r="1468" spans="2:9" x14ac:dyDescent="0.3">
      <c r="B1468" s="50" t="s">
        <v>94</v>
      </c>
      <c r="I1468" s="8">
        <v>0.83333333333333337</v>
      </c>
    </row>
    <row r="1469" spans="2:9" x14ac:dyDescent="0.3">
      <c r="B1469" s="50" t="s">
        <v>94</v>
      </c>
      <c r="I1469" s="8">
        <v>0.83333333333333337</v>
      </c>
    </row>
    <row r="1470" spans="2:9" x14ac:dyDescent="0.3">
      <c r="B1470" s="50" t="s">
        <v>94</v>
      </c>
      <c r="I1470" s="8">
        <v>0.83333333333333337</v>
      </c>
    </row>
    <row r="1471" spans="2:9" x14ac:dyDescent="0.3">
      <c r="B1471" s="50" t="s">
        <v>94</v>
      </c>
      <c r="I1471" s="8">
        <v>0.83333333333333337</v>
      </c>
    </row>
    <row r="1472" spans="2:9" x14ac:dyDescent="0.3">
      <c r="B1472" s="50" t="s">
        <v>94</v>
      </c>
      <c r="I1472" s="8">
        <v>0.83333333333333337</v>
      </c>
    </row>
    <row r="1473" spans="2:9" x14ac:dyDescent="0.3">
      <c r="B1473" s="50" t="s">
        <v>94</v>
      </c>
      <c r="I1473" s="8">
        <v>0.83333333333333337</v>
      </c>
    </row>
    <row r="1474" spans="2:9" x14ac:dyDescent="0.3">
      <c r="B1474" s="50" t="s">
        <v>94</v>
      </c>
      <c r="I1474" s="8">
        <v>0.83333333333333337</v>
      </c>
    </row>
    <row r="1475" spans="2:9" x14ac:dyDescent="0.3">
      <c r="B1475" s="50" t="s">
        <v>94</v>
      </c>
      <c r="I1475" s="8">
        <v>0.83333333333333337</v>
      </c>
    </row>
    <row r="1476" spans="2:9" x14ac:dyDescent="0.3">
      <c r="B1476" s="50" t="s">
        <v>94</v>
      </c>
      <c r="I1476" s="8">
        <v>0.83333333333333337</v>
      </c>
    </row>
    <row r="1477" spans="2:9" x14ac:dyDescent="0.3">
      <c r="B1477" s="50" t="s">
        <v>94</v>
      </c>
      <c r="I1477" s="8">
        <v>0.83333333333333337</v>
      </c>
    </row>
    <row r="1478" spans="2:9" x14ac:dyDescent="0.3">
      <c r="B1478" s="50" t="s">
        <v>94</v>
      </c>
      <c r="I1478" s="8">
        <v>0.83333333333333337</v>
      </c>
    </row>
    <row r="1479" spans="2:9" x14ac:dyDescent="0.3">
      <c r="B1479" s="50" t="s">
        <v>94</v>
      </c>
      <c r="I1479" s="8">
        <v>0.83333333333333337</v>
      </c>
    </row>
    <row r="1480" spans="2:9" x14ac:dyDescent="0.3">
      <c r="B1480" s="50" t="s">
        <v>94</v>
      </c>
      <c r="I1480" s="8">
        <v>0.83333333333333337</v>
      </c>
    </row>
    <row r="1481" spans="2:9" x14ac:dyDescent="0.3">
      <c r="B1481" s="50" t="s">
        <v>94</v>
      </c>
      <c r="I1481" s="8">
        <v>0.83333333333333337</v>
      </c>
    </row>
    <row r="1482" spans="2:9" x14ac:dyDescent="0.3">
      <c r="B1482" s="50" t="s">
        <v>94</v>
      </c>
      <c r="I1482" s="8">
        <v>0.83333333333333337</v>
      </c>
    </row>
    <row r="1483" spans="2:9" x14ac:dyDescent="0.3">
      <c r="B1483" s="50" t="s">
        <v>94</v>
      </c>
      <c r="I1483" s="8">
        <v>0.83333333333333337</v>
      </c>
    </row>
    <row r="1484" spans="2:9" x14ac:dyDescent="0.3">
      <c r="B1484" s="50" t="s">
        <v>94</v>
      </c>
      <c r="I1484" s="8">
        <v>0.83333333333333337</v>
      </c>
    </row>
    <row r="1485" spans="2:9" x14ac:dyDescent="0.3">
      <c r="B1485" s="50" t="s">
        <v>94</v>
      </c>
      <c r="I1485" s="8">
        <v>0.83333333333333337</v>
      </c>
    </row>
    <row r="1486" spans="2:9" x14ac:dyDescent="0.3">
      <c r="B1486" s="50" t="s">
        <v>94</v>
      </c>
      <c r="I1486" s="8">
        <v>0.83333333333333337</v>
      </c>
    </row>
    <row r="1487" spans="2:9" x14ac:dyDescent="0.3">
      <c r="B1487" s="50" t="s">
        <v>94</v>
      </c>
      <c r="I1487" s="8">
        <v>0.83333333333333337</v>
      </c>
    </row>
    <row r="1488" spans="2:9" x14ac:dyDescent="0.3">
      <c r="B1488" s="50" t="s">
        <v>94</v>
      </c>
      <c r="I1488" s="8">
        <v>0.83333333333333337</v>
      </c>
    </row>
    <row r="1489" spans="2:9" x14ac:dyDescent="0.3">
      <c r="B1489" s="50" t="s">
        <v>94</v>
      </c>
      <c r="I1489" s="8">
        <v>0.83333333333333337</v>
      </c>
    </row>
    <row r="1490" spans="2:9" x14ac:dyDescent="0.3">
      <c r="B1490" s="50" t="s">
        <v>94</v>
      </c>
      <c r="I1490" s="8">
        <v>0.83333333333333337</v>
      </c>
    </row>
    <row r="1491" spans="2:9" x14ac:dyDescent="0.3">
      <c r="B1491" s="50" t="s">
        <v>94</v>
      </c>
      <c r="I1491" s="8">
        <v>0.83333333333333337</v>
      </c>
    </row>
    <row r="1492" spans="2:9" x14ac:dyDescent="0.3">
      <c r="B1492" s="50" t="s">
        <v>94</v>
      </c>
      <c r="I1492" s="8">
        <v>0.83333333333333337</v>
      </c>
    </row>
    <row r="1493" spans="2:9" x14ac:dyDescent="0.3">
      <c r="B1493" s="50" t="s">
        <v>94</v>
      </c>
      <c r="I1493" s="8">
        <v>0.83333333333333337</v>
      </c>
    </row>
    <row r="1494" spans="2:9" x14ac:dyDescent="0.3">
      <c r="B1494" s="50" t="s">
        <v>94</v>
      </c>
      <c r="I1494" s="8">
        <v>0.83333333333333337</v>
      </c>
    </row>
    <row r="1495" spans="2:9" x14ac:dyDescent="0.3">
      <c r="B1495" s="50" t="s">
        <v>94</v>
      </c>
      <c r="I1495" s="8">
        <v>0.83333333333333337</v>
      </c>
    </row>
    <row r="1496" spans="2:9" x14ac:dyDescent="0.3">
      <c r="B1496" s="50" t="s">
        <v>94</v>
      </c>
      <c r="I1496" s="8">
        <v>0.83333333333333337</v>
      </c>
    </row>
    <row r="1497" spans="2:9" x14ac:dyDescent="0.3">
      <c r="B1497" s="50" t="s">
        <v>94</v>
      </c>
      <c r="I1497" s="8">
        <v>0.83333333333333337</v>
      </c>
    </row>
    <row r="1498" spans="2:9" x14ac:dyDescent="0.3">
      <c r="B1498" s="50" t="s">
        <v>94</v>
      </c>
      <c r="I1498" s="8">
        <v>0.83333333333333337</v>
      </c>
    </row>
    <row r="1499" spans="2:9" x14ac:dyDescent="0.3">
      <c r="B1499" s="50" t="s">
        <v>94</v>
      </c>
      <c r="I1499" s="8">
        <v>0.83333333333333337</v>
      </c>
    </row>
    <row r="1500" spans="2:9" x14ac:dyDescent="0.3">
      <c r="B1500" s="50" t="s">
        <v>94</v>
      </c>
      <c r="I1500" s="8">
        <v>0.83333333333333337</v>
      </c>
    </row>
    <row r="1501" spans="2:9" x14ac:dyDescent="0.3">
      <c r="B1501" s="50" t="s">
        <v>94</v>
      </c>
      <c r="I1501" s="8">
        <v>0.83333333333333337</v>
      </c>
    </row>
    <row r="1502" spans="2:9" x14ac:dyDescent="0.3">
      <c r="B1502" s="50" t="s">
        <v>94</v>
      </c>
      <c r="I1502" s="8">
        <v>0.83333333333333337</v>
      </c>
    </row>
    <row r="1503" spans="2:9" x14ac:dyDescent="0.3">
      <c r="B1503" s="50" t="s">
        <v>94</v>
      </c>
      <c r="I1503" s="8">
        <v>0.83333333333333337</v>
      </c>
    </row>
    <row r="1504" spans="2:9" x14ac:dyDescent="0.3">
      <c r="B1504" s="50" t="s">
        <v>94</v>
      </c>
      <c r="I1504" s="8">
        <v>0.83333333333333337</v>
      </c>
    </row>
    <row r="1505" spans="2:9" x14ac:dyDescent="0.3">
      <c r="B1505" s="50" t="s">
        <v>94</v>
      </c>
      <c r="I1505" s="8">
        <v>0.83333333333333337</v>
      </c>
    </row>
    <row r="1506" spans="2:9" x14ac:dyDescent="0.3">
      <c r="B1506" s="50" t="s">
        <v>94</v>
      </c>
      <c r="I1506" s="8">
        <v>0.83333333333333337</v>
      </c>
    </row>
    <row r="1507" spans="2:9" x14ac:dyDescent="0.3">
      <c r="B1507" s="50" t="s">
        <v>94</v>
      </c>
      <c r="I1507" s="8">
        <v>0.83333333333333337</v>
      </c>
    </row>
    <row r="1508" spans="2:9" x14ac:dyDescent="0.3">
      <c r="B1508" s="50" t="s">
        <v>94</v>
      </c>
      <c r="I1508" s="8">
        <v>0.83333333333333337</v>
      </c>
    </row>
    <row r="1509" spans="2:9" x14ac:dyDescent="0.3">
      <c r="B1509" s="50" t="s">
        <v>94</v>
      </c>
      <c r="I1509" s="8">
        <v>0.83333333333333337</v>
      </c>
    </row>
    <row r="1510" spans="2:9" x14ac:dyDescent="0.3">
      <c r="B1510" s="50" t="s">
        <v>94</v>
      </c>
      <c r="I1510" s="8">
        <v>0.83333333333333337</v>
      </c>
    </row>
    <row r="1511" spans="2:9" x14ac:dyDescent="0.3">
      <c r="B1511" s="50" t="s">
        <v>94</v>
      </c>
      <c r="I1511" s="8">
        <v>0.83333333333333337</v>
      </c>
    </row>
    <row r="1512" spans="2:9" x14ac:dyDescent="0.3">
      <c r="B1512" s="50" t="s">
        <v>94</v>
      </c>
      <c r="I1512" s="8">
        <v>0.83333333333333337</v>
      </c>
    </row>
    <row r="1513" spans="2:9" x14ac:dyDescent="0.3">
      <c r="B1513" s="50" t="s">
        <v>94</v>
      </c>
      <c r="I1513" s="8">
        <v>0.83333333333333337</v>
      </c>
    </row>
    <row r="1514" spans="2:9" x14ac:dyDescent="0.3">
      <c r="B1514" s="50" t="s">
        <v>94</v>
      </c>
      <c r="I1514" s="8">
        <v>0.83333333333333337</v>
      </c>
    </row>
    <row r="1515" spans="2:9" x14ac:dyDescent="0.3">
      <c r="B1515" s="50" t="s">
        <v>94</v>
      </c>
      <c r="I1515" s="8">
        <v>0.83333333333333337</v>
      </c>
    </row>
    <row r="1516" spans="2:9" x14ac:dyDescent="0.3">
      <c r="B1516" s="50" t="s">
        <v>94</v>
      </c>
      <c r="I1516" s="8">
        <v>0.83333333333333337</v>
      </c>
    </row>
    <row r="1517" spans="2:9" x14ac:dyDescent="0.3">
      <c r="B1517" s="50" t="s">
        <v>94</v>
      </c>
      <c r="I1517" s="8">
        <v>0.83333333333333337</v>
      </c>
    </row>
    <row r="1518" spans="2:9" x14ac:dyDescent="0.3">
      <c r="B1518" s="50" t="s">
        <v>94</v>
      </c>
      <c r="I1518" s="8">
        <v>0.83333333333333337</v>
      </c>
    </row>
    <row r="1519" spans="2:9" x14ac:dyDescent="0.3">
      <c r="B1519" s="50" t="s">
        <v>94</v>
      </c>
      <c r="I1519" s="8">
        <v>0.83333333333333337</v>
      </c>
    </row>
    <row r="1520" spans="2:9" x14ac:dyDescent="0.3">
      <c r="B1520" s="50" t="s">
        <v>94</v>
      </c>
      <c r="I1520" s="8">
        <v>0.83333333333333337</v>
      </c>
    </row>
    <row r="1521" spans="2:9" x14ac:dyDescent="0.3">
      <c r="B1521" s="50" t="s">
        <v>94</v>
      </c>
      <c r="I1521" s="8">
        <v>0.83333333333333337</v>
      </c>
    </row>
    <row r="1522" spans="2:9" x14ac:dyDescent="0.3">
      <c r="B1522" s="50" t="s">
        <v>94</v>
      </c>
      <c r="I1522" s="8">
        <v>0.83333333333333337</v>
      </c>
    </row>
    <row r="1523" spans="2:9" x14ac:dyDescent="0.3">
      <c r="B1523" s="50" t="s">
        <v>94</v>
      </c>
      <c r="I1523" s="8">
        <v>0.83333333333333337</v>
      </c>
    </row>
    <row r="1524" spans="2:9" x14ac:dyDescent="0.3">
      <c r="B1524" s="50" t="s">
        <v>94</v>
      </c>
      <c r="I1524" s="8">
        <v>0.83333333333333337</v>
      </c>
    </row>
    <row r="1525" spans="2:9" x14ac:dyDescent="0.3">
      <c r="B1525" s="50" t="s">
        <v>94</v>
      </c>
      <c r="I1525" s="8">
        <v>0.83333333333333337</v>
      </c>
    </row>
    <row r="1526" spans="2:9" x14ac:dyDescent="0.3">
      <c r="B1526" s="50" t="s">
        <v>94</v>
      </c>
      <c r="I1526" s="8">
        <v>0.83333333333333337</v>
      </c>
    </row>
    <row r="1527" spans="2:9" x14ac:dyDescent="0.3">
      <c r="B1527" s="50" t="s">
        <v>94</v>
      </c>
      <c r="I1527" s="8">
        <v>0.83333333333333337</v>
      </c>
    </row>
    <row r="1528" spans="2:9" x14ac:dyDescent="0.3">
      <c r="B1528" s="50" t="s">
        <v>94</v>
      </c>
      <c r="I1528" s="8">
        <v>0.83333333333333337</v>
      </c>
    </row>
    <row r="1529" spans="2:9" x14ac:dyDescent="0.3">
      <c r="B1529" s="50" t="s">
        <v>94</v>
      </c>
      <c r="I1529" s="8">
        <v>0.83333333333333337</v>
      </c>
    </row>
    <row r="1530" spans="2:9" x14ac:dyDescent="0.3">
      <c r="B1530" s="50" t="s">
        <v>94</v>
      </c>
      <c r="I1530" s="8">
        <v>0.83333333333333337</v>
      </c>
    </row>
    <row r="1531" spans="2:9" x14ac:dyDescent="0.3">
      <c r="B1531" s="50" t="s">
        <v>94</v>
      </c>
      <c r="I1531" s="8">
        <v>0.83333333333333337</v>
      </c>
    </row>
    <row r="1532" spans="2:9" x14ac:dyDescent="0.3">
      <c r="B1532" s="50" t="s">
        <v>94</v>
      </c>
      <c r="I1532" s="8">
        <v>0.83333333333333337</v>
      </c>
    </row>
    <row r="1533" spans="2:9" x14ac:dyDescent="0.3">
      <c r="B1533" s="50" t="s">
        <v>94</v>
      </c>
      <c r="I1533" s="8">
        <v>0.83333333333333337</v>
      </c>
    </row>
    <row r="1534" spans="2:9" x14ac:dyDescent="0.3">
      <c r="B1534" s="50" t="s">
        <v>94</v>
      </c>
      <c r="I1534" s="8">
        <v>0.83333333333333337</v>
      </c>
    </row>
    <row r="1535" spans="2:9" x14ac:dyDescent="0.3">
      <c r="B1535" s="50" t="s">
        <v>94</v>
      </c>
      <c r="I1535" s="8">
        <v>0.83333333333333337</v>
      </c>
    </row>
    <row r="1536" spans="2:9" x14ac:dyDescent="0.3">
      <c r="B1536" s="50" t="s">
        <v>94</v>
      </c>
      <c r="I1536" s="8">
        <v>0.83333333333333337</v>
      </c>
    </row>
    <row r="1537" spans="2:9" x14ac:dyDescent="0.3">
      <c r="B1537" s="50" t="s">
        <v>94</v>
      </c>
      <c r="I1537" s="8">
        <v>0.83333333333333337</v>
      </c>
    </row>
    <row r="1538" spans="2:9" x14ac:dyDescent="0.3">
      <c r="B1538" s="50" t="s">
        <v>94</v>
      </c>
      <c r="I1538" s="8">
        <v>0.83333333333333337</v>
      </c>
    </row>
    <row r="1539" spans="2:9" x14ac:dyDescent="0.3">
      <c r="B1539" s="50" t="s">
        <v>94</v>
      </c>
      <c r="I1539" s="8">
        <v>0.83333333333333337</v>
      </c>
    </row>
    <row r="1540" spans="2:9" x14ac:dyDescent="0.3">
      <c r="B1540" s="50" t="s">
        <v>94</v>
      </c>
      <c r="I1540" s="8">
        <v>0.83333333333333337</v>
      </c>
    </row>
    <row r="1541" spans="2:9" x14ac:dyDescent="0.3">
      <c r="B1541" s="50" t="s">
        <v>94</v>
      </c>
      <c r="I1541" s="8">
        <v>0.83333333333333337</v>
      </c>
    </row>
    <row r="1542" spans="2:9" x14ac:dyDescent="0.3">
      <c r="B1542" s="50" t="s">
        <v>94</v>
      </c>
      <c r="I1542" s="8">
        <v>0.83333333333333337</v>
      </c>
    </row>
    <row r="1543" spans="2:9" x14ac:dyDescent="0.3">
      <c r="B1543" s="50" t="s">
        <v>94</v>
      </c>
      <c r="I1543" s="8">
        <v>0.83333333333333337</v>
      </c>
    </row>
    <row r="1544" spans="2:9" x14ac:dyDescent="0.3">
      <c r="B1544" s="50" t="s">
        <v>94</v>
      </c>
      <c r="I1544" s="8">
        <v>0.83333333333333337</v>
      </c>
    </row>
    <row r="1545" spans="2:9" x14ac:dyDescent="0.3">
      <c r="B1545" s="50" t="s">
        <v>94</v>
      </c>
      <c r="I1545" s="8">
        <v>0.83333333333333337</v>
      </c>
    </row>
    <row r="1546" spans="2:9" x14ac:dyDescent="0.3">
      <c r="B1546" s="50" t="s">
        <v>94</v>
      </c>
      <c r="I1546" s="8">
        <v>0.83333333333333337</v>
      </c>
    </row>
    <row r="1547" spans="2:9" x14ac:dyDescent="0.3">
      <c r="B1547" s="50" t="s">
        <v>94</v>
      </c>
      <c r="I1547" s="8">
        <v>0.83333333333333337</v>
      </c>
    </row>
    <row r="1548" spans="2:9" x14ac:dyDescent="0.3">
      <c r="B1548" s="50" t="s">
        <v>94</v>
      </c>
      <c r="I1548" s="8">
        <v>0.83333333333333337</v>
      </c>
    </row>
    <row r="1549" spans="2:9" x14ac:dyDescent="0.3">
      <c r="B1549" s="50" t="s">
        <v>94</v>
      </c>
      <c r="I1549" s="8">
        <v>0.83333333333333337</v>
      </c>
    </row>
    <row r="1550" spans="2:9" x14ac:dyDescent="0.3">
      <c r="B1550" s="50" t="s">
        <v>94</v>
      </c>
      <c r="I1550" s="8">
        <v>0.83333333333333337</v>
      </c>
    </row>
    <row r="1551" spans="2:9" x14ac:dyDescent="0.3">
      <c r="B1551" s="50" t="s">
        <v>94</v>
      </c>
      <c r="I1551" s="8">
        <v>0.83333333333333337</v>
      </c>
    </row>
    <row r="1552" spans="2:9" x14ac:dyDescent="0.3">
      <c r="B1552" s="50" t="s">
        <v>94</v>
      </c>
      <c r="I1552" s="8">
        <v>0.83333333333333337</v>
      </c>
    </row>
    <row r="1553" spans="2:9" x14ac:dyDescent="0.3">
      <c r="B1553" s="50" t="s">
        <v>94</v>
      </c>
      <c r="I1553" s="8">
        <v>0.83333333333333337</v>
      </c>
    </row>
    <row r="1554" spans="2:9" x14ac:dyDescent="0.3">
      <c r="B1554" s="50" t="s">
        <v>94</v>
      </c>
      <c r="I1554" s="8">
        <v>0.83333333333333337</v>
      </c>
    </row>
    <row r="1555" spans="2:9" x14ac:dyDescent="0.3">
      <c r="B1555" s="50" t="s">
        <v>94</v>
      </c>
      <c r="I1555" s="8">
        <v>0.83333333333333337</v>
      </c>
    </row>
    <row r="1556" spans="2:9" x14ac:dyDescent="0.3">
      <c r="B1556" s="50" t="s">
        <v>94</v>
      </c>
      <c r="I1556" s="8">
        <v>0.83333333333333337</v>
      </c>
    </row>
    <row r="1557" spans="2:9" x14ac:dyDescent="0.3">
      <c r="B1557" s="50" t="s">
        <v>94</v>
      </c>
      <c r="I1557" s="8">
        <v>0.83333333333333337</v>
      </c>
    </row>
    <row r="1558" spans="2:9" x14ac:dyDescent="0.3">
      <c r="B1558" s="50" t="s">
        <v>94</v>
      </c>
      <c r="I1558" s="8">
        <v>0.83333333333333337</v>
      </c>
    </row>
    <row r="1559" spans="2:9" x14ac:dyDescent="0.3">
      <c r="B1559" s="50" t="s">
        <v>94</v>
      </c>
      <c r="I1559" s="8">
        <v>0.83333333333333337</v>
      </c>
    </row>
    <row r="1560" spans="2:9" x14ac:dyDescent="0.3">
      <c r="B1560" s="50" t="s">
        <v>94</v>
      </c>
      <c r="I1560" s="8">
        <v>0.83333333333333337</v>
      </c>
    </row>
    <row r="1561" spans="2:9" x14ac:dyDescent="0.3">
      <c r="B1561" s="50" t="s">
        <v>94</v>
      </c>
      <c r="I1561" s="8">
        <v>0.83333333333333337</v>
      </c>
    </row>
    <row r="1562" spans="2:9" x14ac:dyDescent="0.3">
      <c r="B1562" s="50" t="s">
        <v>94</v>
      </c>
      <c r="I1562" s="8">
        <v>0.83333333333333337</v>
      </c>
    </row>
    <row r="1563" spans="2:9" x14ac:dyDescent="0.3">
      <c r="B1563" s="50" t="s">
        <v>94</v>
      </c>
      <c r="I1563" s="8">
        <v>0.83333333333333337</v>
      </c>
    </row>
    <row r="1564" spans="2:9" x14ac:dyDescent="0.3">
      <c r="B1564" s="50" t="s">
        <v>94</v>
      </c>
      <c r="I1564" s="8">
        <v>0.83333333333333337</v>
      </c>
    </row>
    <row r="1565" spans="2:9" x14ac:dyDescent="0.3">
      <c r="B1565" s="50" t="s">
        <v>94</v>
      </c>
      <c r="I1565" s="8">
        <v>0.83333333333333337</v>
      </c>
    </row>
    <row r="1566" spans="2:9" x14ac:dyDescent="0.3">
      <c r="B1566" s="50" t="s">
        <v>94</v>
      </c>
      <c r="I1566" s="8">
        <v>0.83333333333333337</v>
      </c>
    </row>
    <row r="1567" spans="2:9" x14ac:dyDescent="0.3">
      <c r="B1567" s="50" t="s">
        <v>94</v>
      </c>
      <c r="I1567" s="8">
        <v>0.83333333333333337</v>
      </c>
    </row>
    <row r="1568" spans="2:9" x14ac:dyDescent="0.3">
      <c r="B1568" s="50" t="s">
        <v>94</v>
      </c>
      <c r="I1568" s="8">
        <v>0.83333333333333337</v>
      </c>
    </row>
    <row r="1569" spans="2:9" x14ac:dyDescent="0.3">
      <c r="B1569" s="50" t="s">
        <v>94</v>
      </c>
      <c r="I1569" s="8">
        <v>0.83333333333333337</v>
      </c>
    </row>
    <row r="1570" spans="2:9" x14ac:dyDescent="0.3">
      <c r="B1570" s="50" t="s">
        <v>94</v>
      </c>
      <c r="I1570" s="8">
        <v>0.83333333333333337</v>
      </c>
    </row>
    <row r="1571" spans="2:9" x14ac:dyDescent="0.3">
      <c r="B1571" s="50" t="s">
        <v>94</v>
      </c>
      <c r="I1571" s="8">
        <v>0.83333333333333337</v>
      </c>
    </row>
    <row r="1572" spans="2:9" x14ac:dyDescent="0.3">
      <c r="B1572" s="50" t="s">
        <v>94</v>
      </c>
      <c r="I1572" s="8">
        <v>0.83333333333333337</v>
      </c>
    </row>
    <row r="1573" spans="2:9" x14ac:dyDescent="0.3">
      <c r="B1573" s="50" t="s">
        <v>94</v>
      </c>
      <c r="I1573" s="8">
        <v>0.83333333333333337</v>
      </c>
    </row>
    <row r="1574" spans="2:9" x14ac:dyDescent="0.3">
      <c r="B1574" s="50" t="s">
        <v>94</v>
      </c>
      <c r="I1574" s="8">
        <v>0.83333333333333337</v>
      </c>
    </row>
    <row r="1575" spans="2:9" x14ac:dyDescent="0.3">
      <c r="B1575" s="50" t="s">
        <v>94</v>
      </c>
      <c r="I1575" s="8">
        <v>0.83333333333333337</v>
      </c>
    </row>
    <row r="1576" spans="2:9" x14ac:dyDescent="0.3">
      <c r="B1576" s="50" t="s">
        <v>94</v>
      </c>
      <c r="I1576" s="8">
        <v>0.83333333333333337</v>
      </c>
    </row>
    <row r="1577" spans="2:9" x14ac:dyDescent="0.3">
      <c r="B1577" s="50" t="s">
        <v>94</v>
      </c>
      <c r="I1577" s="8">
        <v>0.83333333333333337</v>
      </c>
    </row>
    <row r="1578" spans="2:9" x14ac:dyDescent="0.3">
      <c r="B1578" s="50" t="s">
        <v>94</v>
      </c>
      <c r="I1578" s="8">
        <v>0.83333333333333337</v>
      </c>
    </row>
    <row r="1579" spans="2:9" x14ac:dyDescent="0.3">
      <c r="B1579" s="50" t="s">
        <v>94</v>
      </c>
      <c r="I1579" s="8">
        <v>0.83333333333333337</v>
      </c>
    </row>
    <row r="1580" spans="2:9" x14ac:dyDescent="0.3">
      <c r="B1580" s="50" t="s">
        <v>94</v>
      </c>
      <c r="I1580" s="8">
        <v>0.83333333333333337</v>
      </c>
    </row>
    <row r="1581" spans="2:9" x14ac:dyDescent="0.3">
      <c r="B1581" s="50" t="s">
        <v>94</v>
      </c>
      <c r="I1581" s="8">
        <v>0.83333333333333337</v>
      </c>
    </row>
    <row r="1582" spans="2:9" x14ac:dyDescent="0.3">
      <c r="B1582" s="50" t="s">
        <v>94</v>
      </c>
      <c r="I1582" s="8">
        <v>0.83333333333333337</v>
      </c>
    </row>
    <row r="1583" spans="2:9" x14ac:dyDescent="0.3">
      <c r="B1583" s="50" t="s">
        <v>94</v>
      </c>
      <c r="I1583" s="8">
        <v>0.83333333333333337</v>
      </c>
    </row>
    <row r="1584" spans="2:9" x14ac:dyDescent="0.3">
      <c r="B1584" s="50" t="s">
        <v>94</v>
      </c>
      <c r="I1584" s="8">
        <v>0.83333333333333337</v>
      </c>
    </row>
    <row r="1585" spans="2:9" x14ac:dyDescent="0.3">
      <c r="B1585" s="50" t="s">
        <v>94</v>
      </c>
      <c r="I1585" s="8">
        <v>0.83333333333333337</v>
      </c>
    </row>
    <row r="1586" spans="2:9" x14ac:dyDescent="0.3">
      <c r="B1586" s="50" t="s">
        <v>94</v>
      </c>
      <c r="I1586" s="8">
        <v>0.83333333333333337</v>
      </c>
    </row>
    <row r="1587" spans="2:9" x14ac:dyDescent="0.3">
      <c r="B1587" s="50" t="s">
        <v>94</v>
      </c>
      <c r="I1587" s="8">
        <v>0.83333333333333337</v>
      </c>
    </row>
    <row r="1588" spans="2:9" x14ac:dyDescent="0.3">
      <c r="B1588" s="50" t="s">
        <v>94</v>
      </c>
      <c r="I1588" s="8">
        <v>0.83333333333333337</v>
      </c>
    </row>
    <row r="1589" spans="2:9" x14ac:dyDescent="0.3">
      <c r="B1589" s="50" t="s">
        <v>94</v>
      </c>
      <c r="I1589" s="8">
        <v>0.83333333333333337</v>
      </c>
    </row>
    <row r="1590" spans="2:9" x14ac:dyDescent="0.3">
      <c r="B1590" s="50" t="s">
        <v>94</v>
      </c>
      <c r="I1590" s="8">
        <v>0.83333333333333337</v>
      </c>
    </row>
    <row r="1591" spans="2:9" x14ac:dyDescent="0.3">
      <c r="B1591" s="50" t="s">
        <v>94</v>
      </c>
      <c r="I1591" s="8">
        <v>0.83333333333333337</v>
      </c>
    </row>
    <row r="1592" spans="2:9" x14ac:dyDescent="0.3">
      <c r="B1592" s="50" t="s">
        <v>94</v>
      </c>
      <c r="I1592" s="8">
        <v>0.83333333333333337</v>
      </c>
    </row>
    <row r="1593" spans="2:9" x14ac:dyDescent="0.3">
      <c r="B1593" s="50" t="s">
        <v>94</v>
      </c>
      <c r="I1593" s="8">
        <v>0.83333333333333337</v>
      </c>
    </row>
    <row r="1594" spans="2:9" x14ac:dyDescent="0.3">
      <c r="B1594" s="50" t="s">
        <v>94</v>
      </c>
      <c r="I1594" s="8">
        <v>0.83333333333333337</v>
      </c>
    </row>
    <row r="1595" spans="2:9" x14ac:dyDescent="0.3">
      <c r="B1595" s="50" t="s">
        <v>94</v>
      </c>
      <c r="I1595" s="8">
        <v>0.83333333333333337</v>
      </c>
    </row>
    <row r="1596" spans="2:9" x14ac:dyDescent="0.3">
      <c r="B1596" s="50" t="s">
        <v>94</v>
      </c>
      <c r="I1596" s="8">
        <v>0.83333333333333337</v>
      </c>
    </row>
    <row r="1597" spans="2:9" x14ac:dyDescent="0.3">
      <c r="B1597" s="50" t="s">
        <v>94</v>
      </c>
      <c r="I1597" s="8">
        <v>0.83333333333333337</v>
      </c>
    </row>
    <row r="1598" spans="2:9" x14ac:dyDescent="0.3">
      <c r="B1598" s="50" t="s">
        <v>94</v>
      </c>
      <c r="I1598" s="8">
        <v>0.83333333333333337</v>
      </c>
    </row>
    <row r="1599" spans="2:9" x14ac:dyDescent="0.3">
      <c r="B1599" s="50" t="s">
        <v>94</v>
      </c>
      <c r="I1599" s="8">
        <v>0.83333333333333337</v>
      </c>
    </row>
    <row r="1600" spans="2:9" x14ac:dyDescent="0.3">
      <c r="B1600" s="50" t="s">
        <v>94</v>
      </c>
      <c r="I1600" s="8">
        <v>0.83333333333333337</v>
      </c>
    </row>
    <row r="1601" spans="2:9" x14ac:dyDescent="0.3">
      <c r="B1601" s="50" t="s">
        <v>94</v>
      </c>
      <c r="I1601" s="8">
        <v>0.83333333333333337</v>
      </c>
    </row>
    <row r="1602" spans="2:9" x14ac:dyDescent="0.3">
      <c r="B1602" s="50" t="s">
        <v>94</v>
      </c>
      <c r="I1602" s="8">
        <v>0.83333333333333337</v>
      </c>
    </row>
    <row r="1603" spans="2:9" x14ac:dyDescent="0.3">
      <c r="B1603" s="50" t="s">
        <v>94</v>
      </c>
      <c r="I1603" s="8">
        <v>0.83333333333333337</v>
      </c>
    </row>
    <row r="1604" spans="2:9" x14ac:dyDescent="0.3">
      <c r="B1604" s="50" t="s">
        <v>94</v>
      </c>
      <c r="I1604" s="8">
        <v>0.83333333333333337</v>
      </c>
    </row>
    <row r="1605" spans="2:9" x14ac:dyDescent="0.3">
      <c r="B1605" s="50" t="s">
        <v>94</v>
      </c>
      <c r="I1605" s="8">
        <v>0.83333333333333337</v>
      </c>
    </row>
    <row r="1606" spans="2:9" x14ac:dyDescent="0.3">
      <c r="B1606" s="50" t="s">
        <v>94</v>
      </c>
      <c r="I1606" s="8">
        <v>0.83333333333333337</v>
      </c>
    </row>
    <row r="1607" spans="2:9" x14ac:dyDescent="0.3">
      <c r="B1607" s="50" t="s">
        <v>94</v>
      </c>
      <c r="I1607" s="8">
        <v>0.83333333333333337</v>
      </c>
    </row>
    <row r="1608" spans="2:9" x14ac:dyDescent="0.3">
      <c r="B1608" s="50" t="s">
        <v>94</v>
      </c>
      <c r="I1608" s="8">
        <v>0.83333333333333337</v>
      </c>
    </row>
    <row r="1609" spans="2:9" x14ac:dyDescent="0.3">
      <c r="B1609" s="50" t="s">
        <v>94</v>
      </c>
      <c r="I1609" s="8">
        <v>0.83333333333333337</v>
      </c>
    </row>
    <row r="1610" spans="2:9" x14ac:dyDescent="0.3">
      <c r="B1610" s="50" t="s">
        <v>94</v>
      </c>
      <c r="I1610" s="8">
        <v>0.83333333333333337</v>
      </c>
    </row>
    <row r="1611" spans="2:9" x14ac:dyDescent="0.3">
      <c r="B1611" s="50" t="s">
        <v>94</v>
      </c>
      <c r="I1611" s="8">
        <v>0.83333333333333337</v>
      </c>
    </row>
    <row r="1612" spans="2:9" x14ac:dyDescent="0.3">
      <c r="B1612" s="50" t="s">
        <v>94</v>
      </c>
      <c r="I1612" s="8">
        <v>0.83333333333333337</v>
      </c>
    </row>
    <row r="1613" spans="2:9" x14ac:dyDescent="0.3">
      <c r="B1613" s="50" t="s">
        <v>94</v>
      </c>
      <c r="I1613" s="8">
        <v>0.83333333333333337</v>
      </c>
    </row>
    <row r="1614" spans="2:9" x14ac:dyDescent="0.3">
      <c r="B1614" s="50" t="s">
        <v>94</v>
      </c>
      <c r="I1614" s="8">
        <v>0.83333333333333337</v>
      </c>
    </row>
    <row r="1615" spans="2:9" x14ac:dyDescent="0.3">
      <c r="B1615" s="50" t="s">
        <v>94</v>
      </c>
      <c r="I1615" s="8">
        <v>0.83333333333333337</v>
      </c>
    </row>
    <row r="1616" spans="2:9" x14ac:dyDescent="0.3">
      <c r="B1616" s="50" t="s">
        <v>94</v>
      </c>
      <c r="I1616" s="8">
        <v>0.83333333333333337</v>
      </c>
    </row>
    <row r="1617" spans="2:9" x14ac:dyDescent="0.3">
      <c r="B1617" s="50" t="s">
        <v>94</v>
      </c>
      <c r="I1617" s="8">
        <v>0.83333333333333337</v>
      </c>
    </row>
    <row r="1618" spans="2:9" x14ac:dyDescent="0.3">
      <c r="B1618" s="50" t="s">
        <v>94</v>
      </c>
      <c r="I1618" s="8">
        <v>0.83333333333333337</v>
      </c>
    </row>
    <row r="1619" spans="2:9" x14ac:dyDescent="0.3">
      <c r="B1619" s="50" t="s">
        <v>94</v>
      </c>
      <c r="I1619" s="8">
        <v>0.83333333333333337</v>
      </c>
    </row>
    <row r="1620" spans="2:9" x14ac:dyDescent="0.3">
      <c r="B1620" s="50" t="s">
        <v>94</v>
      </c>
      <c r="I1620" s="8">
        <v>0.83333333333333337</v>
      </c>
    </row>
    <row r="1621" spans="2:9" x14ac:dyDescent="0.3">
      <c r="B1621" s="50" t="s">
        <v>94</v>
      </c>
      <c r="I1621" s="8">
        <v>0.83333333333333337</v>
      </c>
    </row>
    <row r="1622" spans="2:9" x14ac:dyDescent="0.3">
      <c r="B1622" s="50" t="s">
        <v>94</v>
      </c>
      <c r="I1622" s="8">
        <v>0.83333333333333337</v>
      </c>
    </row>
    <row r="1623" spans="2:9" x14ac:dyDescent="0.3">
      <c r="B1623" s="50" t="s">
        <v>94</v>
      </c>
      <c r="I1623" s="8">
        <v>0.83333333333333337</v>
      </c>
    </row>
    <row r="1624" spans="2:9" x14ac:dyDescent="0.3">
      <c r="B1624" s="50" t="s">
        <v>94</v>
      </c>
      <c r="I1624" s="8">
        <v>0.83333333333333337</v>
      </c>
    </row>
    <row r="1625" spans="2:9" x14ac:dyDescent="0.3">
      <c r="B1625" s="50" t="s">
        <v>94</v>
      </c>
      <c r="I1625" s="8">
        <v>0.83333333333333337</v>
      </c>
    </row>
    <row r="1626" spans="2:9" x14ac:dyDescent="0.3">
      <c r="B1626" s="50" t="s">
        <v>94</v>
      </c>
      <c r="I1626" s="8">
        <v>0.83333333333333337</v>
      </c>
    </row>
    <row r="1627" spans="2:9" x14ac:dyDescent="0.3">
      <c r="B1627" s="50" t="s">
        <v>94</v>
      </c>
      <c r="I1627" s="8">
        <v>0.83333333333333337</v>
      </c>
    </row>
    <row r="1628" spans="2:9" x14ac:dyDescent="0.3">
      <c r="B1628" s="50" t="s">
        <v>94</v>
      </c>
      <c r="I1628" s="8">
        <v>0.83333333333333337</v>
      </c>
    </row>
    <row r="1629" spans="2:9" x14ac:dyDescent="0.3">
      <c r="B1629" s="50" t="s">
        <v>94</v>
      </c>
      <c r="I1629" s="8">
        <v>0.83333333333333337</v>
      </c>
    </row>
    <row r="1630" spans="2:9" x14ac:dyDescent="0.3">
      <c r="B1630" s="50" t="s">
        <v>94</v>
      </c>
      <c r="I1630" s="8">
        <v>0.83333333333333337</v>
      </c>
    </row>
    <row r="1631" spans="2:9" x14ac:dyDescent="0.3">
      <c r="B1631" s="50" t="s">
        <v>94</v>
      </c>
      <c r="I1631" s="8">
        <v>0.83333333333333337</v>
      </c>
    </row>
    <row r="1632" spans="2:9" x14ac:dyDescent="0.3">
      <c r="B1632" s="50" t="s">
        <v>94</v>
      </c>
      <c r="I1632" s="8">
        <v>0.83333333333333337</v>
      </c>
    </row>
    <row r="1633" spans="2:9" x14ac:dyDescent="0.3">
      <c r="B1633" s="50" t="s">
        <v>94</v>
      </c>
      <c r="I1633" s="8">
        <v>0.83333333333333337</v>
      </c>
    </row>
    <row r="1634" spans="2:9" x14ac:dyDescent="0.3">
      <c r="B1634" s="50" t="s">
        <v>94</v>
      </c>
      <c r="I1634" s="8">
        <v>0.83333333333333337</v>
      </c>
    </row>
    <row r="1635" spans="2:9" x14ac:dyDescent="0.3">
      <c r="B1635" s="50" t="s">
        <v>94</v>
      </c>
      <c r="I1635" s="8">
        <v>0.83333333333333337</v>
      </c>
    </row>
    <row r="1636" spans="2:9" x14ac:dyDescent="0.3">
      <c r="B1636" s="50" t="s">
        <v>94</v>
      </c>
      <c r="I1636" s="8">
        <v>0.83333333333333337</v>
      </c>
    </row>
    <row r="1637" spans="2:9" x14ac:dyDescent="0.3">
      <c r="B1637" s="50" t="s">
        <v>94</v>
      </c>
      <c r="I1637" s="8">
        <v>0.83333333333333337</v>
      </c>
    </row>
    <row r="1638" spans="2:9" x14ac:dyDescent="0.3">
      <c r="B1638" s="50" t="s">
        <v>94</v>
      </c>
      <c r="I1638" s="8">
        <v>0.83333333333333337</v>
      </c>
    </row>
    <row r="1639" spans="2:9" x14ac:dyDescent="0.3">
      <c r="B1639" s="50" t="s">
        <v>94</v>
      </c>
      <c r="I1639" s="8">
        <v>0.83333333333333337</v>
      </c>
    </row>
    <row r="1640" spans="2:9" x14ac:dyDescent="0.3">
      <c r="B1640" s="50" t="s">
        <v>94</v>
      </c>
      <c r="I1640" s="8">
        <v>0.83333333333333337</v>
      </c>
    </row>
    <row r="1641" spans="2:9" x14ac:dyDescent="0.3">
      <c r="B1641" s="50" t="s">
        <v>94</v>
      </c>
      <c r="I1641" s="8">
        <v>0.83333333333333337</v>
      </c>
    </row>
    <row r="1642" spans="2:9" x14ac:dyDescent="0.3">
      <c r="B1642" s="50" t="s">
        <v>94</v>
      </c>
      <c r="I1642" s="8">
        <v>0.83333333333333337</v>
      </c>
    </row>
    <row r="1643" spans="2:9" x14ac:dyDescent="0.3">
      <c r="B1643" s="50" t="s">
        <v>94</v>
      </c>
      <c r="I1643" s="8">
        <v>0.83333333333333337</v>
      </c>
    </row>
    <row r="1644" spans="2:9" x14ac:dyDescent="0.3">
      <c r="B1644" s="50" t="s">
        <v>94</v>
      </c>
      <c r="I1644" s="8">
        <v>0.83333333333333337</v>
      </c>
    </row>
    <row r="1645" spans="2:9" x14ac:dyDescent="0.3">
      <c r="B1645" s="50" t="s">
        <v>94</v>
      </c>
      <c r="I1645" s="8">
        <v>0.83333333333333337</v>
      </c>
    </row>
    <row r="1646" spans="2:9" x14ac:dyDescent="0.3">
      <c r="B1646" s="50" t="s">
        <v>94</v>
      </c>
      <c r="I1646" s="8">
        <v>0.83333333333333337</v>
      </c>
    </row>
    <row r="1647" spans="2:9" x14ac:dyDescent="0.3">
      <c r="B1647" s="50" t="s">
        <v>94</v>
      </c>
      <c r="I1647" s="8">
        <v>0.83333333333333337</v>
      </c>
    </row>
    <row r="1648" spans="2:9" x14ac:dyDescent="0.3">
      <c r="B1648" s="50" t="s">
        <v>94</v>
      </c>
      <c r="I1648" s="8">
        <v>0.83333333333333337</v>
      </c>
    </row>
    <row r="1649" spans="2:9" x14ac:dyDescent="0.3">
      <c r="B1649" s="50" t="s">
        <v>94</v>
      </c>
      <c r="I1649" s="8">
        <v>0.83333333333333337</v>
      </c>
    </row>
    <row r="1650" spans="2:9" x14ac:dyDescent="0.3">
      <c r="B1650" s="50" t="s">
        <v>94</v>
      </c>
      <c r="I1650" s="8">
        <v>0.83333333333333337</v>
      </c>
    </row>
    <row r="1651" spans="2:9" x14ac:dyDescent="0.3">
      <c r="B1651" s="50" t="s">
        <v>94</v>
      </c>
      <c r="I1651" s="8">
        <v>0.83333333333333337</v>
      </c>
    </row>
    <row r="1652" spans="2:9" x14ac:dyDescent="0.3">
      <c r="B1652" s="50" t="s">
        <v>94</v>
      </c>
      <c r="I1652" s="8">
        <v>0.83333333333333337</v>
      </c>
    </row>
    <row r="1653" spans="2:9" x14ac:dyDescent="0.3">
      <c r="B1653" s="50" t="s">
        <v>94</v>
      </c>
      <c r="I1653" s="8">
        <v>0.83333333333333337</v>
      </c>
    </row>
    <row r="1654" spans="2:9" x14ac:dyDescent="0.3">
      <c r="B1654" s="50" t="s">
        <v>94</v>
      </c>
      <c r="I1654" s="8">
        <v>0.83333333333333337</v>
      </c>
    </row>
    <row r="1655" spans="2:9" x14ac:dyDescent="0.3">
      <c r="B1655" s="50" t="s">
        <v>94</v>
      </c>
      <c r="I1655" s="8">
        <v>0.83333333333333337</v>
      </c>
    </row>
    <row r="1656" spans="2:9" x14ac:dyDescent="0.3">
      <c r="B1656" s="50" t="s">
        <v>94</v>
      </c>
      <c r="I1656" s="8">
        <v>0.83333333333333337</v>
      </c>
    </row>
    <row r="1657" spans="2:9" x14ac:dyDescent="0.3">
      <c r="B1657" s="50" t="s">
        <v>94</v>
      </c>
      <c r="I1657" s="8">
        <v>0.83333333333333337</v>
      </c>
    </row>
    <row r="1658" spans="2:9" x14ac:dyDescent="0.3">
      <c r="B1658" s="50" t="s">
        <v>94</v>
      </c>
      <c r="I1658" s="8">
        <v>0.83333333333333337</v>
      </c>
    </row>
    <row r="1659" spans="2:9" x14ac:dyDescent="0.3">
      <c r="B1659" s="50" t="s">
        <v>94</v>
      </c>
      <c r="I1659" s="8">
        <v>0.83333333333333337</v>
      </c>
    </row>
    <row r="1660" spans="2:9" x14ac:dyDescent="0.3">
      <c r="B1660" s="50" t="s">
        <v>94</v>
      </c>
      <c r="I1660" s="8">
        <v>0.83333333333333337</v>
      </c>
    </row>
    <row r="1661" spans="2:9" x14ac:dyDescent="0.3">
      <c r="B1661" s="50" t="s">
        <v>94</v>
      </c>
      <c r="I1661" s="8">
        <v>0.83333333333333337</v>
      </c>
    </row>
    <row r="1662" spans="2:9" x14ac:dyDescent="0.3">
      <c r="B1662" s="50" t="s">
        <v>94</v>
      </c>
      <c r="I1662" s="8">
        <v>0.83333333333333337</v>
      </c>
    </row>
    <row r="1663" spans="2:9" x14ac:dyDescent="0.3">
      <c r="B1663" s="50" t="s">
        <v>94</v>
      </c>
      <c r="I1663" s="8">
        <v>0.83333333333333337</v>
      </c>
    </row>
    <row r="1664" spans="2:9" x14ac:dyDescent="0.3">
      <c r="B1664" s="50" t="s">
        <v>94</v>
      </c>
      <c r="I1664" s="8">
        <v>0.83333333333333337</v>
      </c>
    </row>
    <row r="1665" spans="2:9" x14ac:dyDescent="0.3">
      <c r="B1665" s="50" t="s">
        <v>94</v>
      </c>
      <c r="I1665" s="8">
        <v>0.83333333333333337</v>
      </c>
    </row>
    <row r="1666" spans="2:9" x14ac:dyDescent="0.3">
      <c r="B1666" s="50" t="s">
        <v>94</v>
      </c>
      <c r="I1666" s="8">
        <v>0.83333333333333337</v>
      </c>
    </row>
    <row r="1667" spans="2:9" x14ac:dyDescent="0.3">
      <c r="B1667" s="50" t="s">
        <v>94</v>
      </c>
      <c r="I1667" s="8">
        <v>0.83333333333333337</v>
      </c>
    </row>
    <row r="1668" spans="2:9" x14ac:dyDescent="0.3">
      <c r="B1668" s="50" t="s">
        <v>94</v>
      </c>
      <c r="I1668" s="8">
        <v>0.83333333333333337</v>
      </c>
    </row>
    <row r="1669" spans="2:9" x14ac:dyDescent="0.3">
      <c r="B1669" s="50" t="s">
        <v>94</v>
      </c>
      <c r="I1669" s="8">
        <v>0.83333333333333337</v>
      </c>
    </row>
    <row r="1670" spans="2:9" x14ac:dyDescent="0.3">
      <c r="B1670" s="50" t="s">
        <v>94</v>
      </c>
      <c r="I1670" s="8">
        <v>0.83333333333333337</v>
      </c>
    </row>
    <row r="1671" spans="2:9" x14ac:dyDescent="0.3">
      <c r="B1671" s="50" t="s">
        <v>94</v>
      </c>
      <c r="I1671" s="8">
        <v>0.83333333333333337</v>
      </c>
    </row>
    <row r="1672" spans="2:9" x14ac:dyDescent="0.3">
      <c r="B1672" s="50" t="s">
        <v>94</v>
      </c>
      <c r="I1672" s="8">
        <v>0.83333333333333337</v>
      </c>
    </row>
    <row r="1673" spans="2:9" x14ac:dyDescent="0.3">
      <c r="B1673" s="50" t="s">
        <v>94</v>
      </c>
      <c r="I1673" s="8">
        <v>0.83333333333333337</v>
      </c>
    </row>
    <row r="1674" spans="2:9" x14ac:dyDescent="0.3">
      <c r="B1674" s="50" t="s">
        <v>94</v>
      </c>
      <c r="I1674" s="8">
        <v>0.83333333333333337</v>
      </c>
    </row>
    <row r="1675" spans="2:9" x14ac:dyDescent="0.3">
      <c r="B1675" s="50" t="s">
        <v>94</v>
      </c>
      <c r="I1675" s="8">
        <v>0.83333333333333337</v>
      </c>
    </row>
    <row r="1676" spans="2:9" x14ac:dyDescent="0.3">
      <c r="B1676" s="50" t="s">
        <v>94</v>
      </c>
      <c r="I1676" s="8">
        <v>0.83333333333333337</v>
      </c>
    </row>
    <row r="1677" spans="2:9" x14ac:dyDescent="0.3">
      <c r="B1677" s="50" t="s">
        <v>94</v>
      </c>
      <c r="I1677" s="8">
        <v>0.83333333333333337</v>
      </c>
    </row>
    <row r="1678" spans="2:9" x14ac:dyDescent="0.3">
      <c r="B1678" s="50" t="s">
        <v>94</v>
      </c>
      <c r="I1678" s="8">
        <v>0.83333333333333337</v>
      </c>
    </row>
    <row r="1679" spans="2:9" x14ac:dyDescent="0.3">
      <c r="B1679" s="50" t="s">
        <v>94</v>
      </c>
      <c r="I1679" s="8">
        <v>0.83333333333333337</v>
      </c>
    </row>
    <row r="1680" spans="2:9" x14ac:dyDescent="0.3">
      <c r="B1680" s="50" t="s">
        <v>94</v>
      </c>
      <c r="I1680" s="8">
        <v>0.83333333333333337</v>
      </c>
    </row>
    <row r="1681" spans="2:9" x14ac:dyDescent="0.3">
      <c r="B1681" s="50" t="s">
        <v>94</v>
      </c>
      <c r="I1681" s="8">
        <v>0.83333333333333337</v>
      </c>
    </row>
    <row r="1682" spans="2:9" x14ac:dyDescent="0.3">
      <c r="B1682" s="50" t="s">
        <v>94</v>
      </c>
      <c r="I1682" s="8">
        <v>0.83333333333333337</v>
      </c>
    </row>
    <row r="1683" spans="2:9" x14ac:dyDescent="0.3">
      <c r="B1683" s="50" t="s">
        <v>94</v>
      </c>
      <c r="I1683" s="8">
        <v>0.83333333333333337</v>
      </c>
    </row>
    <row r="1684" spans="2:9" x14ac:dyDescent="0.3">
      <c r="B1684" s="50" t="s">
        <v>94</v>
      </c>
      <c r="I1684" s="8">
        <v>0.83333333333333337</v>
      </c>
    </row>
    <row r="1685" spans="2:9" x14ac:dyDescent="0.3">
      <c r="B1685" s="50" t="s">
        <v>94</v>
      </c>
      <c r="I1685" s="8">
        <v>0.83333333333333337</v>
      </c>
    </row>
    <row r="1686" spans="2:9" x14ac:dyDescent="0.3">
      <c r="B1686" s="50" t="s">
        <v>94</v>
      </c>
      <c r="I1686" s="8">
        <v>0.83333333333333337</v>
      </c>
    </row>
    <row r="1687" spans="2:9" x14ac:dyDescent="0.3">
      <c r="B1687" s="50" t="s">
        <v>94</v>
      </c>
      <c r="I1687" s="8">
        <v>0.83333333333333337</v>
      </c>
    </row>
    <row r="1688" spans="2:9" x14ac:dyDescent="0.3">
      <c r="B1688" s="50" t="s">
        <v>94</v>
      </c>
      <c r="I1688" s="8">
        <v>0.83333333333333337</v>
      </c>
    </row>
    <row r="1689" spans="2:9" x14ac:dyDescent="0.3">
      <c r="B1689" s="50" t="s">
        <v>94</v>
      </c>
      <c r="I1689" s="8">
        <v>0.83333333333333337</v>
      </c>
    </row>
    <row r="1690" spans="2:9" x14ac:dyDescent="0.3">
      <c r="B1690" s="50" t="s">
        <v>94</v>
      </c>
      <c r="I1690" s="8">
        <v>0.83333333333333337</v>
      </c>
    </row>
    <row r="1691" spans="2:9" x14ac:dyDescent="0.3">
      <c r="B1691" s="50" t="s">
        <v>94</v>
      </c>
      <c r="I1691" s="8">
        <v>0.83333333333333337</v>
      </c>
    </row>
    <row r="1692" spans="2:9" x14ac:dyDescent="0.3">
      <c r="B1692" s="50" t="s">
        <v>94</v>
      </c>
      <c r="I1692" s="8">
        <v>0.83333333333333337</v>
      </c>
    </row>
    <row r="1693" spans="2:9" x14ac:dyDescent="0.3">
      <c r="B1693" s="50" t="s">
        <v>94</v>
      </c>
      <c r="I1693" s="8">
        <v>0.83333333333333337</v>
      </c>
    </row>
    <row r="1694" spans="2:9" x14ac:dyDescent="0.3">
      <c r="B1694" s="50" t="s">
        <v>94</v>
      </c>
      <c r="I1694" s="8">
        <v>0.83333333333333337</v>
      </c>
    </row>
    <row r="1695" spans="2:9" x14ac:dyDescent="0.3">
      <c r="B1695" s="50" t="s">
        <v>94</v>
      </c>
      <c r="I1695" s="8">
        <v>0.83333333333333337</v>
      </c>
    </row>
    <row r="1696" spans="2:9" x14ac:dyDescent="0.3">
      <c r="B1696" s="50" t="s">
        <v>94</v>
      </c>
      <c r="I1696" s="8">
        <v>0.83333333333333337</v>
      </c>
    </row>
    <row r="1697" spans="2:9" x14ac:dyDescent="0.3">
      <c r="B1697" s="50" t="s">
        <v>94</v>
      </c>
      <c r="I1697" s="8">
        <v>0.83333333333333337</v>
      </c>
    </row>
    <row r="1698" spans="2:9" x14ac:dyDescent="0.3">
      <c r="B1698" s="50" t="s">
        <v>94</v>
      </c>
      <c r="I1698" s="8">
        <v>0.83333333333333337</v>
      </c>
    </row>
    <row r="1699" spans="2:9" x14ac:dyDescent="0.3">
      <c r="B1699" s="50" t="s">
        <v>94</v>
      </c>
      <c r="I1699" s="8">
        <v>0.83333333333333337</v>
      </c>
    </row>
    <row r="1700" spans="2:9" x14ac:dyDescent="0.3">
      <c r="B1700" s="50" t="s">
        <v>94</v>
      </c>
      <c r="I1700" s="8">
        <v>0.83333333333333337</v>
      </c>
    </row>
    <row r="1701" spans="2:9" x14ac:dyDescent="0.3">
      <c r="B1701" s="50" t="s">
        <v>94</v>
      </c>
      <c r="I1701" s="8">
        <v>0.83333333333333337</v>
      </c>
    </row>
    <row r="1702" spans="2:9" x14ac:dyDescent="0.3">
      <c r="B1702" s="50" t="s">
        <v>94</v>
      </c>
      <c r="I1702" s="8">
        <v>0.83333333333333337</v>
      </c>
    </row>
    <row r="1703" spans="2:9" x14ac:dyDescent="0.3">
      <c r="B1703" s="50" t="s">
        <v>94</v>
      </c>
      <c r="I1703" s="8">
        <v>0.83333333333333337</v>
      </c>
    </row>
    <row r="1704" spans="2:9" x14ac:dyDescent="0.3">
      <c r="B1704" s="50" t="s">
        <v>94</v>
      </c>
      <c r="I1704" s="8">
        <v>0.83333333333333337</v>
      </c>
    </row>
    <row r="1705" spans="2:9" x14ac:dyDescent="0.3">
      <c r="B1705" s="50" t="s">
        <v>94</v>
      </c>
      <c r="I1705" s="8">
        <v>0.83333333333333337</v>
      </c>
    </row>
    <row r="1706" spans="2:9" x14ac:dyDescent="0.3">
      <c r="B1706" s="50" t="s">
        <v>94</v>
      </c>
      <c r="I1706" s="8">
        <v>0.83333333333333337</v>
      </c>
    </row>
    <row r="1707" spans="2:9" x14ac:dyDescent="0.3">
      <c r="B1707" s="50" t="s">
        <v>94</v>
      </c>
      <c r="I1707" s="8">
        <v>0.83333333333333337</v>
      </c>
    </row>
    <row r="1708" spans="2:9" x14ac:dyDescent="0.3">
      <c r="B1708" s="50" t="s">
        <v>94</v>
      </c>
      <c r="I1708" s="8">
        <v>0.83333333333333337</v>
      </c>
    </row>
    <row r="1709" spans="2:9" x14ac:dyDescent="0.3">
      <c r="B1709" s="50" t="s">
        <v>94</v>
      </c>
      <c r="I1709" s="8">
        <v>0.83333333333333337</v>
      </c>
    </row>
    <row r="1710" spans="2:9" x14ac:dyDescent="0.3">
      <c r="B1710" s="50" t="s">
        <v>94</v>
      </c>
      <c r="I1710" s="8">
        <v>0.83333333333333337</v>
      </c>
    </row>
    <row r="1711" spans="2:9" x14ac:dyDescent="0.3">
      <c r="B1711" s="50" t="s">
        <v>94</v>
      </c>
      <c r="I1711" s="8">
        <v>0.83333333333333337</v>
      </c>
    </row>
    <row r="1712" spans="2:9" x14ac:dyDescent="0.3">
      <c r="B1712" s="50" t="s">
        <v>94</v>
      </c>
      <c r="I1712" s="8">
        <v>0.83333333333333337</v>
      </c>
    </row>
    <row r="1713" spans="2:9" x14ac:dyDescent="0.3">
      <c r="B1713" s="50" t="s">
        <v>94</v>
      </c>
      <c r="I1713" s="8">
        <v>0.83333333333333337</v>
      </c>
    </row>
    <row r="1714" spans="2:9" x14ac:dyDescent="0.3">
      <c r="B1714" s="50" t="s">
        <v>94</v>
      </c>
      <c r="I1714" s="8">
        <v>0.83333333333333337</v>
      </c>
    </row>
    <row r="1715" spans="2:9" x14ac:dyDescent="0.3">
      <c r="B1715" s="50" t="s">
        <v>94</v>
      </c>
      <c r="I1715" s="8">
        <v>0.83333333333333337</v>
      </c>
    </row>
    <row r="1716" spans="2:9" x14ac:dyDescent="0.3">
      <c r="B1716" s="50" t="s">
        <v>94</v>
      </c>
      <c r="I1716" s="8">
        <v>0.83333333333333337</v>
      </c>
    </row>
    <row r="1717" spans="2:9" x14ac:dyDescent="0.3">
      <c r="B1717" s="50" t="s">
        <v>94</v>
      </c>
      <c r="I1717" s="8">
        <v>0.83333333333333337</v>
      </c>
    </row>
    <row r="1718" spans="2:9" x14ac:dyDescent="0.3">
      <c r="B1718" s="50" t="s">
        <v>94</v>
      </c>
      <c r="I1718" s="8">
        <v>0.83333333333333337</v>
      </c>
    </row>
    <row r="1719" spans="2:9" x14ac:dyDescent="0.3">
      <c r="B1719" s="50" t="s">
        <v>94</v>
      </c>
      <c r="I1719" s="8">
        <v>0.83333333333333337</v>
      </c>
    </row>
    <row r="1720" spans="2:9" x14ac:dyDescent="0.3">
      <c r="B1720" s="50" t="s">
        <v>94</v>
      </c>
      <c r="I1720" s="8">
        <v>0.83333333333333337</v>
      </c>
    </row>
    <row r="1721" spans="2:9" x14ac:dyDescent="0.3">
      <c r="B1721" s="50" t="s">
        <v>94</v>
      </c>
      <c r="I1721" s="8">
        <v>0.83333333333333337</v>
      </c>
    </row>
    <row r="1722" spans="2:9" x14ac:dyDescent="0.3">
      <c r="B1722" s="50" t="s">
        <v>94</v>
      </c>
      <c r="I1722" s="8">
        <v>0.83333333333333337</v>
      </c>
    </row>
    <row r="1723" spans="2:9" x14ac:dyDescent="0.3">
      <c r="B1723" s="50" t="s">
        <v>94</v>
      </c>
      <c r="I1723" s="8">
        <v>0.83333333333333337</v>
      </c>
    </row>
    <row r="1724" spans="2:9" x14ac:dyDescent="0.3">
      <c r="B1724" s="50" t="s">
        <v>94</v>
      </c>
      <c r="I1724" s="8">
        <v>0.83333333333333337</v>
      </c>
    </row>
    <row r="1725" spans="2:9" x14ac:dyDescent="0.3">
      <c r="B1725" s="50" t="s">
        <v>94</v>
      </c>
      <c r="I1725" s="8">
        <v>0.83333333333333337</v>
      </c>
    </row>
    <row r="1726" spans="2:9" x14ac:dyDescent="0.3">
      <c r="B1726" s="50" t="s">
        <v>94</v>
      </c>
      <c r="I1726" s="8">
        <v>0.83333333333333337</v>
      </c>
    </row>
    <row r="1727" spans="2:9" x14ac:dyDescent="0.3">
      <c r="B1727" s="50" t="s">
        <v>94</v>
      </c>
      <c r="I1727" s="8">
        <v>0.83333333333333337</v>
      </c>
    </row>
    <row r="1728" spans="2:9" x14ac:dyDescent="0.3">
      <c r="B1728" s="50" t="s">
        <v>94</v>
      </c>
      <c r="I1728" s="8">
        <v>0.83333333333333337</v>
      </c>
    </row>
    <row r="1729" spans="2:9" x14ac:dyDescent="0.3">
      <c r="B1729" s="50" t="s">
        <v>94</v>
      </c>
      <c r="I1729" s="8">
        <v>0.83333333333333337</v>
      </c>
    </row>
    <row r="1730" spans="2:9" x14ac:dyDescent="0.3">
      <c r="B1730" s="50" t="s">
        <v>94</v>
      </c>
      <c r="I1730" s="8">
        <v>0.83333333333333337</v>
      </c>
    </row>
    <row r="1731" spans="2:9" x14ac:dyDescent="0.3">
      <c r="B1731" s="50" t="s">
        <v>94</v>
      </c>
      <c r="I1731" s="8">
        <v>0.83333333333333337</v>
      </c>
    </row>
    <row r="1732" spans="2:9" x14ac:dyDescent="0.3">
      <c r="B1732" s="50" t="s">
        <v>94</v>
      </c>
      <c r="I1732" s="8">
        <v>0.83333333333333337</v>
      </c>
    </row>
    <row r="1733" spans="2:9" x14ac:dyDescent="0.3">
      <c r="B1733" s="50" t="s">
        <v>94</v>
      </c>
      <c r="I1733" s="8">
        <v>0.83333333333333337</v>
      </c>
    </row>
    <row r="1734" spans="2:9" x14ac:dyDescent="0.3">
      <c r="B1734" s="50" t="s">
        <v>94</v>
      </c>
      <c r="I1734" s="8">
        <v>0.83333333333333337</v>
      </c>
    </row>
    <row r="1735" spans="2:9" x14ac:dyDescent="0.3">
      <c r="B1735" s="50" t="s">
        <v>94</v>
      </c>
      <c r="I1735" s="8">
        <v>0.83333333333333337</v>
      </c>
    </row>
    <row r="1736" spans="2:9" x14ac:dyDescent="0.3">
      <c r="B1736" s="50" t="s">
        <v>94</v>
      </c>
      <c r="I1736" s="8">
        <v>0.83333333333333337</v>
      </c>
    </row>
    <row r="1737" spans="2:9" x14ac:dyDescent="0.3">
      <c r="B1737" s="50" t="s">
        <v>94</v>
      </c>
      <c r="I1737" s="8">
        <v>0.83333333333333337</v>
      </c>
    </row>
    <row r="1738" spans="2:9" x14ac:dyDescent="0.3">
      <c r="B1738" s="50" t="s">
        <v>94</v>
      </c>
      <c r="I1738" s="8">
        <v>0.83333333333333337</v>
      </c>
    </row>
    <row r="1739" spans="2:9" x14ac:dyDescent="0.3">
      <c r="B1739" s="50" t="s">
        <v>94</v>
      </c>
      <c r="I1739" s="8">
        <v>0.83333333333333337</v>
      </c>
    </row>
    <row r="1740" spans="2:9" x14ac:dyDescent="0.3">
      <c r="B1740" s="50" t="s">
        <v>94</v>
      </c>
      <c r="I1740" s="8">
        <v>0.83333333333333337</v>
      </c>
    </row>
    <row r="1741" spans="2:9" x14ac:dyDescent="0.3">
      <c r="B1741" s="50" t="s">
        <v>94</v>
      </c>
      <c r="I1741" s="8">
        <v>0.83333333333333337</v>
      </c>
    </row>
    <row r="1742" spans="2:9" x14ac:dyDescent="0.3">
      <c r="B1742" s="50" t="s">
        <v>94</v>
      </c>
      <c r="I1742" s="8">
        <v>0.83333333333333337</v>
      </c>
    </row>
    <row r="1743" spans="2:9" x14ac:dyDescent="0.3">
      <c r="B1743" s="50" t="s">
        <v>94</v>
      </c>
      <c r="I1743" s="8">
        <v>0.83333333333333337</v>
      </c>
    </row>
    <row r="1744" spans="2:9" x14ac:dyDescent="0.3">
      <c r="B1744" s="50" t="s">
        <v>94</v>
      </c>
      <c r="I1744" s="8">
        <v>0.83333333333333337</v>
      </c>
    </row>
    <row r="1745" spans="2:9" x14ac:dyDescent="0.3">
      <c r="B1745" s="50" t="s">
        <v>94</v>
      </c>
      <c r="I1745" s="8">
        <v>0.83333333333333337</v>
      </c>
    </row>
    <row r="1746" spans="2:9" x14ac:dyDescent="0.3">
      <c r="B1746" s="50" t="s">
        <v>94</v>
      </c>
      <c r="I1746" s="8">
        <v>0.83333333333333337</v>
      </c>
    </row>
    <row r="1747" spans="2:9" x14ac:dyDescent="0.3">
      <c r="B1747" s="50" t="s">
        <v>94</v>
      </c>
      <c r="I1747" s="8">
        <v>0.83333333333333337</v>
      </c>
    </row>
    <row r="1748" spans="2:9" x14ac:dyDescent="0.3">
      <c r="B1748" s="50" t="s">
        <v>94</v>
      </c>
      <c r="I1748" s="8">
        <v>0.83333333333333337</v>
      </c>
    </row>
    <row r="1749" spans="2:9" x14ac:dyDescent="0.3">
      <c r="B1749" s="50" t="s">
        <v>94</v>
      </c>
      <c r="I1749" s="8">
        <v>0.83333333333333337</v>
      </c>
    </row>
    <row r="1750" spans="2:9" x14ac:dyDescent="0.3">
      <c r="B1750" s="50" t="s">
        <v>94</v>
      </c>
      <c r="I1750" s="8">
        <v>0.83333333333333337</v>
      </c>
    </row>
    <row r="1751" spans="2:9" x14ac:dyDescent="0.3">
      <c r="B1751" s="50" t="s">
        <v>94</v>
      </c>
      <c r="I1751" s="8">
        <v>0.83333333333333337</v>
      </c>
    </row>
    <row r="1752" spans="2:9" x14ac:dyDescent="0.3">
      <c r="B1752" s="50" t="s">
        <v>94</v>
      </c>
      <c r="I1752" s="8">
        <v>0.83333333333333337</v>
      </c>
    </row>
    <row r="1753" spans="2:9" x14ac:dyDescent="0.3">
      <c r="B1753" s="50" t="s">
        <v>94</v>
      </c>
      <c r="I1753" s="8">
        <v>0.83333333333333337</v>
      </c>
    </row>
    <row r="1754" spans="2:9" x14ac:dyDescent="0.3">
      <c r="B1754" s="50" t="s">
        <v>94</v>
      </c>
      <c r="I1754" s="8">
        <v>0.83333333333333337</v>
      </c>
    </row>
    <row r="1755" spans="2:9" x14ac:dyDescent="0.3">
      <c r="B1755" s="50" t="s">
        <v>94</v>
      </c>
      <c r="I1755" s="8">
        <v>0.83333333333333337</v>
      </c>
    </row>
    <row r="1756" spans="2:9" x14ac:dyDescent="0.3">
      <c r="B1756" s="50" t="s">
        <v>94</v>
      </c>
      <c r="I1756" s="8">
        <v>0.83333333333333337</v>
      </c>
    </row>
    <row r="1757" spans="2:9" x14ac:dyDescent="0.3">
      <c r="B1757" s="50" t="s">
        <v>94</v>
      </c>
      <c r="I1757" s="8">
        <v>0.83333333333333337</v>
      </c>
    </row>
    <row r="1758" spans="2:9" x14ac:dyDescent="0.3">
      <c r="B1758" s="50" t="s">
        <v>94</v>
      </c>
      <c r="I1758" s="8">
        <v>0.83333333333333337</v>
      </c>
    </row>
    <row r="1759" spans="2:9" x14ac:dyDescent="0.3">
      <c r="B1759" s="50" t="s">
        <v>94</v>
      </c>
      <c r="I1759" s="8">
        <v>0.83333333333333337</v>
      </c>
    </row>
    <row r="1760" spans="2:9" x14ac:dyDescent="0.3">
      <c r="B1760" s="50" t="s">
        <v>94</v>
      </c>
      <c r="I1760" s="8">
        <v>0.83333333333333337</v>
      </c>
    </row>
    <row r="1761" spans="2:9" x14ac:dyDescent="0.3">
      <c r="B1761" s="50" t="s">
        <v>94</v>
      </c>
      <c r="I1761" s="8">
        <v>0.83333333333333337</v>
      </c>
    </row>
    <row r="1762" spans="2:9" x14ac:dyDescent="0.3">
      <c r="B1762" s="50" t="s">
        <v>94</v>
      </c>
      <c r="I1762" s="8">
        <v>0.83333333333333337</v>
      </c>
    </row>
    <row r="1763" spans="2:9" x14ac:dyDescent="0.3">
      <c r="B1763" s="50" t="s">
        <v>94</v>
      </c>
      <c r="I1763" s="8">
        <v>0.83333333333333337</v>
      </c>
    </row>
    <row r="1764" spans="2:9" x14ac:dyDescent="0.3">
      <c r="B1764" s="50" t="s">
        <v>94</v>
      </c>
      <c r="I1764" s="8">
        <v>0.83333333333333337</v>
      </c>
    </row>
    <row r="1765" spans="2:9" x14ac:dyDescent="0.3">
      <c r="B1765" s="50" t="s">
        <v>94</v>
      </c>
      <c r="I1765" s="8">
        <v>0.83333333333333337</v>
      </c>
    </row>
    <row r="1766" spans="2:9" x14ac:dyDescent="0.3">
      <c r="B1766" s="50" t="s">
        <v>94</v>
      </c>
      <c r="I1766" s="8">
        <v>0.83333333333333337</v>
      </c>
    </row>
    <row r="1767" spans="2:9" x14ac:dyDescent="0.3">
      <c r="B1767" s="50" t="s">
        <v>94</v>
      </c>
      <c r="I1767" s="8">
        <v>0.83333333333333337</v>
      </c>
    </row>
    <row r="1768" spans="2:9" x14ac:dyDescent="0.3">
      <c r="B1768" s="50" t="s">
        <v>94</v>
      </c>
      <c r="I1768" s="8">
        <v>0.83333333333333337</v>
      </c>
    </row>
    <row r="1769" spans="2:9" x14ac:dyDescent="0.3">
      <c r="B1769" s="50" t="s">
        <v>94</v>
      </c>
      <c r="I1769" s="8">
        <v>0.83333333333333337</v>
      </c>
    </row>
    <row r="1770" spans="2:9" x14ac:dyDescent="0.3">
      <c r="B1770" s="50" t="s">
        <v>94</v>
      </c>
      <c r="I1770" s="8">
        <v>0.83333333333333337</v>
      </c>
    </row>
    <row r="1771" spans="2:9" x14ac:dyDescent="0.3">
      <c r="B1771" s="50" t="s">
        <v>94</v>
      </c>
      <c r="I1771" s="8">
        <v>0.83333333333333337</v>
      </c>
    </row>
    <row r="1772" spans="2:9" x14ac:dyDescent="0.3">
      <c r="B1772" s="50" t="s">
        <v>94</v>
      </c>
      <c r="I1772" s="8">
        <v>0.83333333333333337</v>
      </c>
    </row>
    <row r="1773" spans="2:9" x14ac:dyDescent="0.3">
      <c r="B1773" s="50" t="s">
        <v>94</v>
      </c>
      <c r="I1773" s="8">
        <v>0.83333333333333337</v>
      </c>
    </row>
    <row r="1774" spans="2:9" x14ac:dyDescent="0.3">
      <c r="B1774" s="50" t="s">
        <v>94</v>
      </c>
      <c r="I1774" s="8">
        <v>0.83333333333333337</v>
      </c>
    </row>
    <row r="1775" spans="2:9" x14ac:dyDescent="0.3">
      <c r="B1775" s="50" t="s">
        <v>94</v>
      </c>
      <c r="I1775" s="8">
        <v>0.83333333333333337</v>
      </c>
    </row>
    <row r="1776" spans="2:9" x14ac:dyDescent="0.3">
      <c r="B1776" s="50" t="s">
        <v>94</v>
      </c>
      <c r="I1776" s="8">
        <v>0.83333333333333337</v>
      </c>
    </row>
    <row r="1777" spans="2:9" x14ac:dyDescent="0.3">
      <c r="B1777" s="50" t="s">
        <v>94</v>
      </c>
      <c r="I1777" s="8">
        <v>0.83333333333333337</v>
      </c>
    </row>
    <row r="1778" spans="2:9" x14ac:dyDescent="0.3">
      <c r="B1778" s="50" t="s">
        <v>94</v>
      </c>
      <c r="I1778" s="8">
        <v>0.83333333333333337</v>
      </c>
    </row>
    <row r="1779" spans="2:9" x14ac:dyDescent="0.3">
      <c r="B1779" s="50" t="s">
        <v>94</v>
      </c>
      <c r="I1779" s="8">
        <v>0.83333333333333337</v>
      </c>
    </row>
    <row r="1780" spans="2:9" x14ac:dyDescent="0.3">
      <c r="B1780" s="50" t="s">
        <v>94</v>
      </c>
      <c r="I1780" s="8">
        <v>0.83333333333333337</v>
      </c>
    </row>
    <row r="1781" spans="2:9" x14ac:dyDescent="0.3">
      <c r="B1781" s="50" t="s">
        <v>94</v>
      </c>
      <c r="I1781" s="8">
        <v>0.83333333333333337</v>
      </c>
    </row>
    <row r="1782" spans="2:9" x14ac:dyDescent="0.3">
      <c r="B1782" s="50" t="s">
        <v>94</v>
      </c>
      <c r="I1782" s="8">
        <v>0.83333333333333337</v>
      </c>
    </row>
    <row r="1783" spans="2:9" x14ac:dyDescent="0.3">
      <c r="B1783" s="50" t="s">
        <v>94</v>
      </c>
      <c r="I1783" s="8">
        <v>0.83333333333333337</v>
      </c>
    </row>
    <row r="1784" spans="2:9" x14ac:dyDescent="0.3">
      <c r="B1784" s="50" t="s">
        <v>94</v>
      </c>
      <c r="I1784" s="8">
        <v>0.83333333333333337</v>
      </c>
    </row>
    <row r="1785" spans="2:9" x14ac:dyDescent="0.3">
      <c r="B1785" s="50" t="s">
        <v>94</v>
      </c>
      <c r="I1785" s="8">
        <v>0.83333333333333337</v>
      </c>
    </row>
    <row r="1786" spans="2:9" x14ac:dyDescent="0.3">
      <c r="B1786" s="50" t="s">
        <v>94</v>
      </c>
      <c r="I1786" s="8">
        <v>0.83333333333333337</v>
      </c>
    </row>
    <row r="1787" spans="2:9" x14ac:dyDescent="0.3">
      <c r="B1787" s="50" t="s">
        <v>94</v>
      </c>
      <c r="I1787" s="8">
        <v>0.83333333333333337</v>
      </c>
    </row>
    <row r="1788" spans="2:9" x14ac:dyDescent="0.3">
      <c r="B1788" s="50" t="s">
        <v>94</v>
      </c>
      <c r="I1788" s="8">
        <v>0.83333333333333337</v>
      </c>
    </row>
    <row r="1789" spans="2:9" x14ac:dyDescent="0.3">
      <c r="B1789" s="50" t="s">
        <v>94</v>
      </c>
      <c r="I1789" s="8">
        <v>0.83333333333333337</v>
      </c>
    </row>
    <row r="1790" spans="2:9" x14ac:dyDescent="0.3">
      <c r="B1790" s="50" t="s">
        <v>94</v>
      </c>
      <c r="I1790" s="8">
        <v>0.83333333333333337</v>
      </c>
    </row>
    <row r="1791" spans="2:9" x14ac:dyDescent="0.3">
      <c r="B1791" s="50" t="s">
        <v>94</v>
      </c>
      <c r="I1791" s="8">
        <v>0.83333333333333337</v>
      </c>
    </row>
    <row r="1792" spans="2:9" x14ac:dyDescent="0.3">
      <c r="B1792" s="50" t="s">
        <v>94</v>
      </c>
      <c r="I1792" s="8">
        <v>0.83333333333333337</v>
      </c>
    </row>
    <row r="1793" spans="2:9" x14ac:dyDescent="0.3">
      <c r="B1793" s="50" t="s">
        <v>94</v>
      </c>
      <c r="I1793" s="8">
        <v>0.83333333333333337</v>
      </c>
    </row>
    <row r="1794" spans="2:9" x14ac:dyDescent="0.3">
      <c r="B1794" s="50" t="s">
        <v>94</v>
      </c>
      <c r="I1794" s="8">
        <v>0.83333333333333337</v>
      </c>
    </row>
    <row r="1795" spans="2:9" x14ac:dyDescent="0.3">
      <c r="B1795" s="50" t="s">
        <v>94</v>
      </c>
      <c r="I1795" s="8">
        <v>0.83333333333333337</v>
      </c>
    </row>
    <row r="1796" spans="2:9" x14ac:dyDescent="0.3">
      <c r="B1796" s="50" t="s">
        <v>94</v>
      </c>
      <c r="I1796" s="8">
        <v>0.83333333333333337</v>
      </c>
    </row>
    <row r="1797" spans="2:9" x14ac:dyDescent="0.3">
      <c r="B1797" s="50" t="s">
        <v>94</v>
      </c>
      <c r="I1797" s="8">
        <v>0.83333333333333337</v>
      </c>
    </row>
    <row r="1798" spans="2:9" x14ac:dyDescent="0.3">
      <c r="B1798" s="50" t="s">
        <v>94</v>
      </c>
      <c r="I1798" s="8">
        <v>0.83333333333333337</v>
      </c>
    </row>
    <row r="1799" spans="2:9" x14ac:dyDescent="0.3">
      <c r="B1799" s="50" t="s">
        <v>94</v>
      </c>
      <c r="I1799" s="8">
        <v>0.83333333333333337</v>
      </c>
    </row>
    <row r="1800" spans="2:9" x14ac:dyDescent="0.3">
      <c r="B1800" s="50" t="s">
        <v>94</v>
      </c>
      <c r="I1800" s="8">
        <v>0.83333333333333337</v>
      </c>
    </row>
    <row r="1801" spans="2:9" x14ac:dyDescent="0.3">
      <c r="B1801" s="50" t="s">
        <v>94</v>
      </c>
      <c r="I1801" s="8">
        <v>0.83333333333333337</v>
      </c>
    </row>
    <row r="1802" spans="2:9" x14ac:dyDescent="0.3">
      <c r="B1802" s="50" t="s">
        <v>94</v>
      </c>
      <c r="I1802" s="8">
        <v>0.83333333333333337</v>
      </c>
    </row>
    <row r="1803" spans="2:9" x14ac:dyDescent="0.3">
      <c r="B1803" s="50" t="s">
        <v>94</v>
      </c>
      <c r="I1803" s="8">
        <v>0.83333333333333337</v>
      </c>
    </row>
    <row r="1804" spans="2:9" x14ac:dyDescent="0.3">
      <c r="B1804" s="50" t="s">
        <v>94</v>
      </c>
      <c r="I1804" s="8">
        <v>0.83333333333333337</v>
      </c>
    </row>
    <row r="1805" spans="2:9" x14ac:dyDescent="0.3">
      <c r="B1805" s="50" t="s">
        <v>94</v>
      </c>
      <c r="I1805" s="8">
        <v>0.83333333333333337</v>
      </c>
    </row>
    <row r="1806" spans="2:9" x14ac:dyDescent="0.3">
      <c r="B1806" s="50" t="s">
        <v>94</v>
      </c>
      <c r="I1806" s="8">
        <v>0.83333333333333337</v>
      </c>
    </row>
    <row r="1807" spans="2:9" x14ac:dyDescent="0.3">
      <c r="B1807" s="50" t="s">
        <v>94</v>
      </c>
      <c r="I1807" s="8">
        <v>0.83333333333333337</v>
      </c>
    </row>
    <row r="1808" spans="2:9" x14ac:dyDescent="0.3">
      <c r="B1808" s="50" t="s">
        <v>94</v>
      </c>
      <c r="I1808" s="8">
        <v>0.83333333333333337</v>
      </c>
    </row>
    <row r="1809" spans="2:9" x14ac:dyDescent="0.3">
      <c r="B1809" s="50" t="s">
        <v>94</v>
      </c>
      <c r="I1809" s="8">
        <v>0.83333333333333337</v>
      </c>
    </row>
    <row r="1810" spans="2:9" x14ac:dyDescent="0.3">
      <c r="B1810" s="50" t="s">
        <v>94</v>
      </c>
      <c r="I1810" s="8">
        <v>0.83333333333333337</v>
      </c>
    </row>
    <row r="1811" spans="2:9" x14ac:dyDescent="0.3">
      <c r="B1811" s="50" t="s">
        <v>94</v>
      </c>
      <c r="I1811" s="8">
        <v>0.83333333333333337</v>
      </c>
    </row>
    <row r="1812" spans="2:9" x14ac:dyDescent="0.3">
      <c r="B1812" s="50" t="s">
        <v>94</v>
      </c>
      <c r="I1812" s="8">
        <v>0.83333333333333337</v>
      </c>
    </row>
    <row r="1813" spans="2:9" x14ac:dyDescent="0.3">
      <c r="B1813" s="50" t="s">
        <v>94</v>
      </c>
      <c r="I1813" s="8">
        <v>0.83333333333333337</v>
      </c>
    </row>
    <row r="1814" spans="2:9" x14ac:dyDescent="0.3">
      <c r="B1814" s="50" t="s">
        <v>94</v>
      </c>
      <c r="I1814" s="8">
        <v>0.83333333333333337</v>
      </c>
    </row>
    <row r="1815" spans="2:9" x14ac:dyDescent="0.3">
      <c r="B1815" s="50" t="s">
        <v>94</v>
      </c>
      <c r="I1815" s="8">
        <v>0.83333333333333337</v>
      </c>
    </row>
    <row r="1816" spans="2:9" x14ac:dyDescent="0.3">
      <c r="B1816" s="50" t="s">
        <v>94</v>
      </c>
      <c r="I1816" s="8">
        <v>0.83333333333333337</v>
      </c>
    </row>
    <row r="1817" spans="2:9" x14ac:dyDescent="0.3">
      <c r="B1817" s="50" t="s">
        <v>94</v>
      </c>
      <c r="I1817" s="8">
        <v>0.83333333333333337</v>
      </c>
    </row>
    <row r="1818" spans="2:9" x14ac:dyDescent="0.3">
      <c r="B1818" s="50" t="s">
        <v>94</v>
      </c>
      <c r="I1818" s="8">
        <v>0.83333333333333337</v>
      </c>
    </row>
    <row r="1819" spans="2:9" x14ac:dyDescent="0.3">
      <c r="B1819" s="50" t="s">
        <v>94</v>
      </c>
      <c r="I1819" s="8">
        <v>0.83333333333333337</v>
      </c>
    </row>
    <row r="1820" spans="2:9" x14ac:dyDescent="0.3">
      <c r="B1820" s="50" t="s">
        <v>94</v>
      </c>
      <c r="I1820" s="8">
        <v>0.83333333333333337</v>
      </c>
    </row>
    <row r="1821" spans="2:9" x14ac:dyDescent="0.3">
      <c r="B1821" s="50" t="s">
        <v>94</v>
      </c>
      <c r="I1821" s="8">
        <v>0.83333333333333337</v>
      </c>
    </row>
    <row r="1822" spans="2:9" x14ac:dyDescent="0.3">
      <c r="B1822" s="50" t="s">
        <v>94</v>
      </c>
      <c r="I1822" s="8">
        <v>0.83333333333333337</v>
      </c>
    </row>
    <row r="1823" spans="2:9" x14ac:dyDescent="0.3">
      <c r="B1823" s="50" t="s">
        <v>94</v>
      </c>
      <c r="I1823" s="8">
        <v>0.83333333333333337</v>
      </c>
    </row>
    <row r="1824" spans="2:9" x14ac:dyDescent="0.3">
      <c r="B1824" s="50" t="s">
        <v>94</v>
      </c>
      <c r="I1824" s="8">
        <v>0.83333333333333337</v>
      </c>
    </row>
  </sheetData>
  <mergeCells count="13">
    <mergeCell ref="K5:K6"/>
    <mergeCell ref="J5:J6"/>
    <mergeCell ref="A1:I1"/>
    <mergeCell ref="B4:C4"/>
    <mergeCell ref="A5:A6"/>
    <mergeCell ref="B5:D5"/>
    <mergeCell ref="I5:I6"/>
    <mergeCell ref="A2:I2"/>
    <mergeCell ref="A3:B3"/>
    <mergeCell ref="H5:H6"/>
    <mergeCell ref="E5:E6"/>
    <mergeCell ref="F5:F6"/>
    <mergeCell ref="G5:G6"/>
  </mergeCells>
  <conditionalFormatting sqref="B8:H96 C7:H7 C97:G283">
    <cfRule type="expression" dxfId="1" priority="3" stopIfTrue="1">
      <formula>#REF!="Nợ HP"</formula>
    </cfRule>
  </conditionalFormatting>
  <conditionalFormatting sqref="B7">
    <cfRule type="expression" dxfId="0" priority="1" stopIfTrue="1">
      <formula>#REF!="Nợ HP"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ChamDiem">
          <controlPr defaultSize="0" print="0" autoLine="0" autoPict="0" r:id="rId4">
            <anchor>
              <from>
                <xdr:col>0</xdr:col>
                <xdr:colOff>66675</xdr:colOff>
                <xdr:row>0</xdr:row>
                <xdr:rowOff>38100</xdr:rowOff>
              </from>
              <to>
                <xdr:col>1</xdr:col>
                <xdr:colOff>838200</xdr:colOff>
                <xdr:row>1</xdr:row>
                <xdr:rowOff>76200</xdr:rowOff>
              </to>
            </anchor>
          </controlPr>
        </control>
      </mc:Choice>
      <mc:Fallback>
        <control shapeId="5121" r:id="rId3" name="cmdChamDiem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2911-A5B1-4170-AB1A-203AB786B191}">
  <sheetPr codeName="DatabaseLoi"/>
  <dimension ref="B1:C149"/>
  <sheetViews>
    <sheetView topLeftCell="A16" workbookViewId="0">
      <selection activeCell="D9" sqref="D9"/>
    </sheetView>
  </sheetViews>
  <sheetFormatPr defaultRowHeight="15" x14ac:dyDescent="0.25"/>
  <cols>
    <col min="1" max="1" width="43.85546875" bestFit="1" customWidth="1"/>
    <col min="2" max="2" width="19.5703125" bestFit="1" customWidth="1"/>
    <col min="3" max="3" width="21.85546875" bestFit="1" customWidth="1"/>
  </cols>
  <sheetData>
    <row r="1" spans="2:3" ht="18.75" x14ac:dyDescent="0.35">
      <c r="B1" s="27" t="s">
        <v>196</v>
      </c>
      <c r="C1" s="27" t="s">
        <v>197</v>
      </c>
    </row>
    <row r="2" spans="2:3" ht="18.75" x14ac:dyDescent="0.35">
      <c r="B2" s="27" t="s">
        <v>198</v>
      </c>
      <c r="C2" s="27">
        <v>1</v>
      </c>
    </row>
    <row r="3" spans="2:3" ht="18.75" x14ac:dyDescent="0.35">
      <c r="B3" s="27" t="s">
        <v>198</v>
      </c>
      <c r="C3" s="27">
        <v>2</v>
      </c>
    </row>
    <row r="4" spans="2:3" ht="18.75" x14ac:dyDescent="0.35">
      <c r="B4" s="27" t="s">
        <v>198</v>
      </c>
      <c r="C4" s="27">
        <v>3</v>
      </c>
    </row>
    <row r="5" spans="2:3" ht="18.75" x14ac:dyDescent="0.35">
      <c r="B5" s="27" t="s">
        <v>198</v>
      </c>
      <c r="C5" s="27">
        <v>4</v>
      </c>
    </row>
    <row r="6" spans="2:3" ht="18.75" x14ac:dyDescent="0.35">
      <c r="B6" s="27" t="s">
        <v>198</v>
      </c>
      <c r="C6" s="27">
        <v>5</v>
      </c>
    </row>
    <row r="7" spans="2:3" ht="18.75" x14ac:dyDescent="0.35">
      <c r="B7" s="27" t="s">
        <v>198</v>
      </c>
      <c r="C7" s="27">
        <v>6</v>
      </c>
    </row>
    <row r="8" spans="2:3" ht="18.75" x14ac:dyDescent="0.35">
      <c r="B8" s="27" t="s">
        <v>198</v>
      </c>
      <c r="C8" s="27">
        <v>7</v>
      </c>
    </row>
    <row r="9" spans="2:3" ht="18.75" x14ac:dyDescent="0.35">
      <c r="B9" s="27" t="s">
        <v>199</v>
      </c>
      <c r="C9" s="27">
        <v>1</v>
      </c>
    </row>
    <row r="10" spans="2:3" ht="18.75" x14ac:dyDescent="0.35">
      <c r="B10" s="27" t="s">
        <v>199</v>
      </c>
      <c r="C10" s="27">
        <v>11</v>
      </c>
    </row>
    <row r="11" spans="2:3" ht="18.75" x14ac:dyDescent="0.35">
      <c r="B11" s="27" t="s">
        <v>199</v>
      </c>
      <c r="C11" s="27">
        <v>113</v>
      </c>
    </row>
    <row r="12" spans="2:3" ht="18.75" x14ac:dyDescent="0.35">
      <c r="B12" s="27" t="s">
        <v>199</v>
      </c>
      <c r="C12" s="27">
        <v>4</v>
      </c>
    </row>
    <row r="13" spans="2:3" ht="18.75" x14ac:dyDescent="0.35">
      <c r="B13" s="27" t="s">
        <v>199</v>
      </c>
      <c r="C13" s="27">
        <v>5</v>
      </c>
    </row>
    <row r="14" spans="2:3" ht="18.75" x14ac:dyDescent="0.35">
      <c r="B14" s="27" t="s">
        <v>199</v>
      </c>
      <c r="C14" s="27">
        <v>6</v>
      </c>
    </row>
    <row r="15" spans="2:3" ht="18.75" x14ac:dyDescent="0.35">
      <c r="B15" s="27" t="s">
        <v>199</v>
      </c>
      <c r="C15" s="27">
        <v>7</v>
      </c>
    </row>
    <row r="16" spans="2:3" ht="18.75" x14ac:dyDescent="0.35">
      <c r="B16" s="27" t="s">
        <v>199</v>
      </c>
      <c r="C16" s="27" t="s">
        <v>200</v>
      </c>
    </row>
    <row r="17" spans="2:3" ht="18.75" x14ac:dyDescent="0.35">
      <c r="B17" s="27" t="s">
        <v>199</v>
      </c>
      <c r="C17" s="27" t="s">
        <v>201</v>
      </c>
    </row>
    <row r="18" spans="2:3" ht="18.75" x14ac:dyDescent="0.35">
      <c r="B18" s="27" t="s">
        <v>202</v>
      </c>
      <c r="C18" s="27">
        <v>10</v>
      </c>
    </row>
    <row r="19" spans="2:3" ht="18.75" x14ac:dyDescent="0.35">
      <c r="B19" s="27" t="s">
        <v>202</v>
      </c>
      <c r="C19" s="27">
        <v>3</v>
      </c>
    </row>
    <row r="20" spans="2:3" ht="18.75" x14ac:dyDescent="0.35">
      <c r="B20" s="27" t="s">
        <v>202</v>
      </c>
      <c r="C20" s="27">
        <v>4</v>
      </c>
    </row>
    <row r="21" spans="2:3" ht="18.75" x14ac:dyDescent="0.35">
      <c r="B21" s="27" t="s">
        <v>202</v>
      </c>
      <c r="C21" s="27">
        <v>5</v>
      </c>
    </row>
    <row r="22" spans="2:3" ht="18.75" x14ac:dyDescent="0.35">
      <c r="B22" s="27" t="s">
        <v>202</v>
      </c>
      <c r="C22" s="27">
        <v>9</v>
      </c>
    </row>
    <row r="23" spans="2:3" ht="18.75" x14ac:dyDescent="0.35">
      <c r="B23" s="27" t="s">
        <v>203</v>
      </c>
      <c r="C23" s="27">
        <v>102</v>
      </c>
    </row>
    <row r="24" spans="2:3" ht="18.75" x14ac:dyDescent="0.35">
      <c r="B24" s="27" t="s">
        <v>203</v>
      </c>
      <c r="C24" s="27">
        <v>2</v>
      </c>
    </row>
    <row r="25" spans="2:3" ht="18.75" x14ac:dyDescent="0.35">
      <c r="B25" s="27" t="s">
        <v>203</v>
      </c>
      <c r="C25" s="27">
        <v>5</v>
      </c>
    </row>
    <row r="26" spans="2:3" ht="18.75" x14ac:dyDescent="0.35">
      <c r="B26" s="27" t="s">
        <v>203</v>
      </c>
      <c r="C26" s="27">
        <v>8</v>
      </c>
    </row>
    <row r="27" spans="2:3" ht="18.75" x14ac:dyDescent="0.35">
      <c r="B27" s="27" t="s">
        <v>203</v>
      </c>
      <c r="C27" s="27" t="s">
        <v>204</v>
      </c>
    </row>
    <row r="28" spans="2:3" ht="18.75" x14ac:dyDescent="0.35">
      <c r="B28" s="27" t="s">
        <v>203</v>
      </c>
      <c r="C28" s="27" t="s">
        <v>205</v>
      </c>
    </row>
    <row r="29" spans="2:3" ht="18.75" x14ac:dyDescent="0.35">
      <c r="B29" s="27" t="s">
        <v>203</v>
      </c>
      <c r="C29" s="27" t="s">
        <v>206</v>
      </c>
    </row>
    <row r="30" spans="2:3" ht="18.75" x14ac:dyDescent="0.35">
      <c r="B30" s="27" t="s">
        <v>203</v>
      </c>
      <c r="C30" s="27" t="s">
        <v>207</v>
      </c>
    </row>
    <row r="31" spans="2:3" ht="18.75" x14ac:dyDescent="0.35">
      <c r="B31" s="27" t="s">
        <v>203</v>
      </c>
      <c r="C31" s="27" t="s">
        <v>208</v>
      </c>
    </row>
    <row r="32" spans="2:3" ht="18.75" x14ac:dyDescent="0.35">
      <c r="B32" s="27" t="s">
        <v>203</v>
      </c>
      <c r="C32" s="27" t="s">
        <v>209</v>
      </c>
    </row>
    <row r="33" spans="2:3" ht="18.75" x14ac:dyDescent="0.35">
      <c r="B33" s="27" t="s">
        <v>210</v>
      </c>
      <c r="C33" s="27">
        <v>1</v>
      </c>
    </row>
    <row r="34" spans="2:3" ht="18.75" x14ac:dyDescent="0.35">
      <c r="B34" s="27" t="s">
        <v>210</v>
      </c>
      <c r="C34" s="27">
        <v>2</v>
      </c>
    </row>
    <row r="35" spans="2:3" ht="18.75" x14ac:dyDescent="0.35">
      <c r="B35" s="27" t="s">
        <v>210</v>
      </c>
      <c r="C35" s="27">
        <v>3</v>
      </c>
    </row>
    <row r="36" spans="2:3" ht="18.75" x14ac:dyDescent="0.35">
      <c r="B36" s="27" t="s">
        <v>210</v>
      </c>
      <c r="C36" s="27">
        <v>4</v>
      </c>
    </row>
    <row r="37" spans="2:3" ht="18.75" x14ac:dyDescent="0.35">
      <c r="B37" s="27" t="s">
        <v>210</v>
      </c>
      <c r="C37" s="27">
        <v>5</v>
      </c>
    </row>
    <row r="38" spans="2:3" ht="18.75" x14ac:dyDescent="0.35">
      <c r="B38" s="27" t="s">
        <v>210</v>
      </c>
      <c r="C38" s="27">
        <v>6</v>
      </c>
    </row>
    <row r="39" spans="2:3" ht="18.75" x14ac:dyDescent="0.35">
      <c r="B39" s="27" t="s">
        <v>210</v>
      </c>
      <c r="C39" s="27">
        <v>7</v>
      </c>
    </row>
    <row r="40" spans="2:3" ht="18.75" x14ac:dyDescent="0.35">
      <c r="B40" s="27" t="s">
        <v>210</v>
      </c>
      <c r="C40" s="27">
        <v>8</v>
      </c>
    </row>
    <row r="41" spans="2:3" ht="18.75" x14ac:dyDescent="0.35">
      <c r="B41" s="27" t="s">
        <v>210</v>
      </c>
      <c r="C41" s="27">
        <v>9</v>
      </c>
    </row>
    <row r="42" spans="2:3" ht="18.75" x14ac:dyDescent="0.35">
      <c r="B42" s="27" t="s">
        <v>211</v>
      </c>
      <c r="C42" s="27">
        <v>1</v>
      </c>
    </row>
    <row r="43" spans="2:3" ht="18.75" x14ac:dyDescent="0.35">
      <c r="B43" s="27" t="s">
        <v>211</v>
      </c>
      <c r="C43" s="27">
        <v>2</v>
      </c>
    </row>
    <row r="44" spans="2:3" ht="18.75" x14ac:dyDescent="0.35">
      <c r="B44" s="27" t="s">
        <v>211</v>
      </c>
      <c r="C44" s="27">
        <v>3</v>
      </c>
    </row>
    <row r="45" spans="2:3" ht="18.75" x14ac:dyDescent="0.35">
      <c r="B45" s="27" t="s">
        <v>211</v>
      </c>
      <c r="C45" s="27">
        <v>4</v>
      </c>
    </row>
    <row r="46" spans="2:3" ht="18.75" x14ac:dyDescent="0.35">
      <c r="B46" s="27" t="s">
        <v>211</v>
      </c>
      <c r="C46" s="27">
        <v>5</v>
      </c>
    </row>
    <row r="47" spans="2:3" ht="18.75" x14ac:dyDescent="0.35">
      <c r="B47" s="27" t="s">
        <v>211</v>
      </c>
      <c r="C47" s="27">
        <v>6</v>
      </c>
    </row>
    <row r="48" spans="2:3" ht="18.75" x14ac:dyDescent="0.35">
      <c r="B48" s="27" t="s">
        <v>211</v>
      </c>
      <c r="C48" s="27">
        <v>7</v>
      </c>
    </row>
    <row r="49" spans="2:3" ht="18.75" x14ac:dyDescent="0.35">
      <c r="B49" s="27" t="s">
        <v>211</v>
      </c>
      <c r="C49" s="27">
        <v>8</v>
      </c>
    </row>
    <row r="50" spans="2:3" ht="18.75" x14ac:dyDescent="0.35">
      <c r="B50" s="27" t="s">
        <v>211</v>
      </c>
      <c r="C50" s="27">
        <v>9</v>
      </c>
    </row>
    <row r="51" spans="2:3" ht="18.75" x14ac:dyDescent="0.35">
      <c r="B51" s="27" t="s">
        <v>212</v>
      </c>
      <c r="C51" s="27">
        <v>1</v>
      </c>
    </row>
    <row r="52" spans="2:3" ht="18.75" x14ac:dyDescent="0.35">
      <c r="B52" s="27" t="s">
        <v>212</v>
      </c>
      <c r="C52" s="27">
        <v>2</v>
      </c>
    </row>
    <row r="53" spans="2:3" ht="18.75" x14ac:dyDescent="0.35">
      <c r="B53" s="27" t="s">
        <v>212</v>
      </c>
      <c r="C53" s="27">
        <v>3</v>
      </c>
    </row>
    <row r="54" spans="2:3" ht="18.75" x14ac:dyDescent="0.35">
      <c r="B54" s="27" t="s">
        <v>212</v>
      </c>
      <c r="C54" s="27">
        <v>4</v>
      </c>
    </row>
    <row r="55" spans="2:3" ht="18.75" x14ac:dyDescent="0.35">
      <c r="B55" s="27" t="s">
        <v>212</v>
      </c>
      <c r="C55" s="27">
        <v>5</v>
      </c>
    </row>
    <row r="56" spans="2:3" ht="18.75" x14ac:dyDescent="0.35">
      <c r="B56" s="27" t="s">
        <v>212</v>
      </c>
      <c r="C56" s="27">
        <v>6</v>
      </c>
    </row>
    <row r="57" spans="2:3" ht="18.75" x14ac:dyDescent="0.35">
      <c r="B57" s="27" t="s">
        <v>213</v>
      </c>
      <c r="C57" s="27">
        <v>1</v>
      </c>
    </row>
    <row r="58" spans="2:3" ht="18.75" x14ac:dyDescent="0.35">
      <c r="B58" s="27" t="s">
        <v>213</v>
      </c>
      <c r="C58" s="27">
        <v>2</v>
      </c>
    </row>
    <row r="59" spans="2:3" ht="18.75" x14ac:dyDescent="0.35">
      <c r="B59" s="27" t="s">
        <v>213</v>
      </c>
      <c r="C59" s="27">
        <v>3</v>
      </c>
    </row>
    <row r="60" spans="2:3" ht="18.75" x14ac:dyDescent="0.35">
      <c r="B60" s="27" t="s">
        <v>213</v>
      </c>
      <c r="C60" s="27">
        <v>4</v>
      </c>
    </row>
    <row r="61" spans="2:3" ht="18.75" x14ac:dyDescent="0.35">
      <c r="B61" s="27" t="s">
        <v>214</v>
      </c>
      <c r="C61" s="27">
        <v>1</v>
      </c>
    </row>
    <row r="62" spans="2:3" ht="18.75" x14ac:dyDescent="0.35">
      <c r="B62" s="27" t="s">
        <v>214</v>
      </c>
      <c r="C62" s="27">
        <v>2</v>
      </c>
    </row>
    <row r="63" spans="2:3" ht="18.75" x14ac:dyDescent="0.35">
      <c r="B63" s="27" t="s">
        <v>214</v>
      </c>
      <c r="C63" s="27">
        <v>3</v>
      </c>
    </row>
    <row r="64" spans="2:3" ht="18.75" x14ac:dyDescent="0.35">
      <c r="B64" s="27" t="s">
        <v>214</v>
      </c>
      <c r="C64" s="27">
        <v>4</v>
      </c>
    </row>
    <row r="65" spans="2:3" ht="18.75" x14ac:dyDescent="0.35">
      <c r="B65" s="27" t="s">
        <v>214</v>
      </c>
      <c r="C65" s="27">
        <v>5</v>
      </c>
    </row>
    <row r="66" spans="2:3" ht="18.75" x14ac:dyDescent="0.35">
      <c r="B66" s="27" t="s">
        <v>214</v>
      </c>
      <c r="C66" s="27">
        <v>6</v>
      </c>
    </row>
    <row r="67" spans="2:3" ht="18.75" x14ac:dyDescent="0.35">
      <c r="B67" s="27" t="s">
        <v>215</v>
      </c>
      <c r="C67" s="27">
        <v>2</v>
      </c>
    </row>
    <row r="68" spans="2:3" ht="18.75" x14ac:dyDescent="0.35">
      <c r="B68" s="27" t="s">
        <v>215</v>
      </c>
      <c r="C68" s="27">
        <v>3</v>
      </c>
    </row>
    <row r="69" spans="2:3" ht="18.75" x14ac:dyDescent="0.35">
      <c r="B69" s="27" t="s">
        <v>215</v>
      </c>
      <c r="C69" s="27">
        <v>4</v>
      </c>
    </row>
    <row r="70" spans="2:3" ht="18.75" x14ac:dyDescent="0.35">
      <c r="B70" s="27" t="s">
        <v>215</v>
      </c>
      <c r="C70" s="27">
        <v>5</v>
      </c>
    </row>
    <row r="71" spans="2:3" ht="18.75" x14ac:dyDescent="0.35">
      <c r="B71" s="27" t="s">
        <v>215</v>
      </c>
      <c r="C71" s="27">
        <v>6</v>
      </c>
    </row>
    <row r="72" spans="2:3" ht="18.75" x14ac:dyDescent="0.35">
      <c r="B72" s="27" t="s">
        <v>215</v>
      </c>
      <c r="C72" s="27">
        <v>7</v>
      </c>
    </row>
    <row r="73" spans="2:3" ht="18.75" x14ac:dyDescent="0.35">
      <c r="B73" s="27" t="s">
        <v>215</v>
      </c>
      <c r="C73" s="27">
        <v>8</v>
      </c>
    </row>
    <row r="74" spans="2:3" ht="18.75" x14ac:dyDescent="0.35">
      <c r="B74" s="27" t="s">
        <v>215</v>
      </c>
      <c r="C74" s="27">
        <v>9</v>
      </c>
    </row>
    <row r="75" spans="2:3" ht="18.75" x14ac:dyDescent="0.35">
      <c r="B75" s="27" t="s">
        <v>215</v>
      </c>
      <c r="C75" s="27">
        <v>10</v>
      </c>
    </row>
    <row r="76" spans="2:3" ht="18.75" x14ac:dyDescent="0.35">
      <c r="B76" s="27" t="s">
        <v>215</v>
      </c>
      <c r="C76" s="27">
        <v>11</v>
      </c>
    </row>
    <row r="77" spans="2:3" ht="18.75" x14ac:dyDescent="0.35">
      <c r="B77" s="27" t="s">
        <v>216</v>
      </c>
      <c r="C77" s="27">
        <v>1</v>
      </c>
    </row>
    <row r="78" spans="2:3" ht="18.75" x14ac:dyDescent="0.35">
      <c r="B78" s="27" t="s">
        <v>216</v>
      </c>
      <c r="C78" s="27">
        <v>2</v>
      </c>
    </row>
    <row r="79" spans="2:3" ht="18.75" x14ac:dyDescent="0.35">
      <c r="B79" s="27" t="s">
        <v>216</v>
      </c>
      <c r="C79" s="27">
        <v>3</v>
      </c>
    </row>
    <row r="80" spans="2:3" ht="18.75" x14ac:dyDescent="0.35">
      <c r="B80" s="27" t="s">
        <v>216</v>
      </c>
      <c r="C80" s="27">
        <v>4</v>
      </c>
    </row>
    <row r="81" spans="2:3" ht="18.75" x14ac:dyDescent="0.35">
      <c r="B81" s="27" t="s">
        <v>216</v>
      </c>
      <c r="C81" s="27">
        <v>5</v>
      </c>
    </row>
    <row r="82" spans="2:3" ht="18.75" x14ac:dyDescent="0.35">
      <c r="B82" s="27" t="s">
        <v>216</v>
      </c>
      <c r="C82" s="27">
        <v>6</v>
      </c>
    </row>
    <row r="83" spans="2:3" ht="18.75" x14ac:dyDescent="0.35">
      <c r="B83" s="27" t="s">
        <v>216</v>
      </c>
      <c r="C83" s="27">
        <v>7</v>
      </c>
    </row>
    <row r="84" spans="2:3" ht="18.75" x14ac:dyDescent="0.35">
      <c r="B84" s="27" t="s">
        <v>216</v>
      </c>
      <c r="C84" s="27">
        <v>8</v>
      </c>
    </row>
    <row r="85" spans="2:3" ht="18.75" x14ac:dyDescent="0.35">
      <c r="B85" s="27" t="s">
        <v>216</v>
      </c>
      <c r="C85" s="27">
        <v>9</v>
      </c>
    </row>
    <row r="86" spans="2:3" ht="18.75" x14ac:dyDescent="0.35">
      <c r="B86" s="27" t="s">
        <v>216</v>
      </c>
      <c r="C86" s="27">
        <v>10</v>
      </c>
    </row>
    <row r="87" spans="2:3" ht="18.75" x14ac:dyDescent="0.35">
      <c r="B87" s="27" t="s">
        <v>216</v>
      </c>
      <c r="C87" s="27">
        <v>11</v>
      </c>
    </row>
    <row r="88" spans="2:3" ht="18.75" x14ac:dyDescent="0.35">
      <c r="B88" s="27" t="s">
        <v>216</v>
      </c>
      <c r="C88" s="27">
        <v>12</v>
      </c>
    </row>
    <row r="89" spans="2:3" ht="18.75" x14ac:dyDescent="0.35">
      <c r="B89" s="27" t="s">
        <v>217</v>
      </c>
      <c r="C89" s="27">
        <v>1</v>
      </c>
    </row>
    <row r="90" spans="2:3" ht="18.75" x14ac:dyDescent="0.35">
      <c r="B90" s="27" t="s">
        <v>217</v>
      </c>
      <c r="C90" s="27">
        <v>2</v>
      </c>
    </row>
    <row r="91" spans="2:3" ht="18.75" x14ac:dyDescent="0.35">
      <c r="B91" s="27" t="s">
        <v>217</v>
      </c>
      <c r="C91" s="27">
        <v>3</v>
      </c>
    </row>
    <row r="92" spans="2:3" ht="18.75" x14ac:dyDescent="0.35">
      <c r="B92" s="27" t="s">
        <v>217</v>
      </c>
      <c r="C92" s="27">
        <v>4</v>
      </c>
    </row>
    <row r="93" spans="2:3" ht="18.75" x14ac:dyDescent="0.35">
      <c r="B93" s="27" t="s">
        <v>217</v>
      </c>
      <c r="C93" s="27">
        <v>5</v>
      </c>
    </row>
    <row r="94" spans="2:3" ht="18.75" x14ac:dyDescent="0.35">
      <c r="B94" s="27" t="s">
        <v>217</v>
      </c>
      <c r="C94" s="27">
        <v>6</v>
      </c>
    </row>
    <row r="95" spans="2:3" ht="18.75" x14ac:dyDescent="0.35">
      <c r="B95" s="27" t="s">
        <v>217</v>
      </c>
      <c r="C95" s="27">
        <v>7</v>
      </c>
    </row>
    <row r="96" spans="2:3" ht="18.75" x14ac:dyDescent="0.35">
      <c r="B96" s="27" t="s">
        <v>217</v>
      </c>
      <c r="C96" s="27">
        <v>8</v>
      </c>
    </row>
    <row r="97" spans="2:3" ht="18.75" x14ac:dyDescent="0.35">
      <c r="B97" s="27" t="s">
        <v>218</v>
      </c>
      <c r="C97" s="27">
        <v>1</v>
      </c>
    </row>
    <row r="98" spans="2:3" ht="18.75" x14ac:dyDescent="0.35">
      <c r="B98" s="27" t="s">
        <v>218</v>
      </c>
      <c r="C98" s="27">
        <v>2</v>
      </c>
    </row>
    <row r="99" spans="2:3" ht="18.75" x14ac:dyDescent="0.35">
      <c r="B99" s="27" t="s">
        <v>218</v>
      </c>
      <c r="C99" s="27">
        <v>3</v>
      </c>
    </row>
    <row r="100" spans="2:3" ht="18.75" x14ac:dyDescent="0.35">
      <c r="B100" s="27" t="s">
        <v>218</v>
      </c>
      <c r="C100" s="27">
        <v>4</v>
      </c>
    </row>
    <row r="101" spans="2:3" ht="18.75" x14ac:dyDescent="0.35">
      <c r="B101" s="27" t="s">
        <v>218</v>
      </c>
      <c r="C101" s="27">
        <v>5</v>
      </c>
    </row>
    <row r="102" spans="2:3" ht="18.75" x14ac:dyDescent="0.35">
      <c r="B102" s="27" t="s">
        <v>218</v>
      </c>
      <c r="C102" s="27">
        <v>6</v>
      </c>
    </row>
    <row r="103" spans="2:3" ht="18.75" x14ac:dyDescent="0.35">
      <c r="B103" s="27" t="s">
        <v>218</v>
      </c>
      <c r="C103" s="27">
        <v>7</v>
      </c>
    </row>
    <row r="104" spans="2:3" ht="18.75" x14ac:dyDescent="0.35">
      <c r="B104" s="27" t="s">
        <v>218</v>
      </c>
      <c r="C104" s="27">
        <v>8</v>
      </c>
    </row>
    <row r="105" spans="2:3" ht="18.75" x14ac:dyDescent="0.35">
      <c r="B105" s="27" t="s">
        <v>218</v>
      </c>
      <c r="C105" s="27">
        <v>9</v>
      </c>
    </row>
    <row r="106" spans="2:3" ht="18.75" x14ac:dyDescent="0.35">
      <c r="B106" s="27" t="s">
        <v>218</v>
      </c>
      <c r="C106" s="27">
        <v>10</v>
      </c>
    </row>
    <row r="107" spans="2:3" ht="18.75" x14ac:dyDescent="0.35">
      <c r="B107" s="27" t="s">
        <v>218</v>
      </c>
      <c r="C107" s="27">
        <v>11</v>
      </c>
    </row>
    <row r="108" spans="2:3" ht="18.75" x14ac:dyDescent="0.35">
      <c r="B108" s="27" t="s">
        <v>219</v>
      </c>
      <c r="C108" s="27">
        <v>1</v>
      </c>
    </row>
    <row r="109" spans="2:3" ht="18.75" x14ac:dyDescent="0.35">
      <c r="B109" s="27" t="s">
        <v>219</v>
      </c>
      <c r="C109" s="27">
        <v>2</v>
      </c>
    </row>
    <row r="110" spans="2:3" ht="18.75" x14ac:dyDescent="0.35">
      <c r="B110" s="27" t="s">
        <v>219</v>
      </c>
      <c r="C110" s="27">
        <v>3</v>
      </c>
    </row>
    <row r="111" spans="2:3" ht="18.75" x14ac:dyDescent="0.35">
      <c r="B111" s="27" t="s">
        <v>219</v>
      </c>
      <c r="C111" s="27">
        <v>4</v>
      </c>
    </row>
    <row r="112" spans="2:3" ht="18.75" x14ac:dyDescent="0.35">
      <c r="B112" s="27" t="s">
        <v>219</v>
      </c>
      <c r="C112" s="27">
        <v>5</v>
      </c>
    </row>
    <row r="113" spans="2:3" ht="18.75" x14ac:dyDescent="0.35">
      <c r="B113" s="27" t="s">
        <v>219</v>
      </c>
      <c r="C113" s="27">
        <v>6</v>
      </c>
    </row>
    <row r="114" spans="2:3" ht="18.75" x14ac:dyDescent="0.35">
      <c r="B114" s="27" t="s">
        <v>219</v>
      </c>
      <c r="C114" s="27">
        <v>7</v>
      </c>
    </row>
    <row r="115" spans="2:3" ht="18.75" x14ac:dyDescent="0.35">
      <c r="B115" s="27" t="s">
        <v>219</v>
      </c>
      <c r="C115" s="27">
        <v>8</v>
      </c>
    </row>
    <row r="116" spans="2:3" ht="18.75" x14ac:dyDescent="0.35">
      <c r="B116" s="27" t="s">
        <v>219</v>
      </c>
      <c r="C116" s="27">
        <v>9</v>
      </c>
    </row>
    <row r="117" spans="2:3" ht="18.75" x14ac:dyDescent="0.35">
      <c r="B117" s="27" t="s">
        <v>219</v>
      </c>
      <c r="C117" s="27">
        <v>10</v>
      </c>
    </row>
    <row r="118" spans="2:3" ht="18.75" x14ac:dyDescent="0.35">
      <c r="B118" s="27" t="s">
        <v>220</v>
      </c>
      <c r="C118" s="27">
        <v>1</v>
      </c>
    </row>
    <row r="119" spans="2:3" ht="18.75" x14ac:dyDescent="0.35">
      <c r="B119" s="27" t="s">
        <v>220</v>
      </c>
      <c r="C119" s="27">
        <v>2</v>
      </c>
    </row>
    <row r="120" spans="2:3" ht="18.75" x14ac:dyDescent="0.35">
      <c r="B120" s="27" t="s">
        <v>221</v>
      </c>
      <c r="C120" s="27">
        <v>1</v>
      </c>
    </row>
    <row r="121" spans="2:3" ht="18.75" x14ac:dyDescent="0.35">
      <c r="B121" s="27" t="s">
        <v>221</v>
      </c>
      <c r="C121" s="27">
        <v>2</v>
      </c>
    </row>
    <row r="122" spans="2:3" ht="18.75" x14ac:dyDescent="0.35">
      <c r="B122" s="27" t="s">
        <v>221</v>
      </c>
      <c r="C122" s="27">
        <v>3</v>
      </c>
    </row>
    <row r="123" spans="2:3" ht="18.75" x14ac:dyDescent="0.35">
      <c r="B123" s="27" t="s">
        <v>221</v>
      </c>
      <c r="C123" s="27">
        <v>4</v>
      </c>
    </row>
    <row r="124" spans="2:3" ht="18.75" x14ac:dyDescent="0.35">
      <c r="B124" s="27" t="s">
        <v>221</v>
      </c>
      <c r="C124" s="27">
        <v>5</v>
      </c>
    </row>
    <row r="125" spans="2:3" ht="18.75" x14ac:dyDescent="0.35">
      <c r="B125" s="27" t="s">
        <v>221</v>
      </c>
      <c r="C125" s="27">
        <v>6</v>
      </c>
    </row>
    <row r="126" spans="2:3" ht="18.75" x14ac:dyDescent="0.35">
      <c r="B126" s="27" t="s">
        <v>221</v>
      </c>
      <c r="C126" s="27">
        <v>7</v>
      </c>
    </row>
    <row r="127" spans="2:3" ht="18.75" x14ac:dyDescent="0.35">
      <c r="B127" s="27" t="s">
        <v>221</v>
      </c>
      <c r="C127" s="27">
        <v>8</v>
      </c>
    </row>
    <row r="128" spans="2:3" ht="18.75" x14ac:dyDescent="0.35">
      <c r="B128" s="27" t="s">
        <v>221</v>
      </c>
      <c r="C128" s="27">
        <v>9</v>
      </c>
    </row>
    <row r="129" spans="2:3" ht="18.75" x14ac:dyDescent="0.35">
      <c r="B129" s="27" t="s">
        <v>221</v>
      </c>
      <c r="C129" s="27">
        <v>10</v>
      </c>
    </row>
    <row r="130" spans="2:3" ht="18.75" x14ac:dyDescent="0.35">
      <c r="B130" s="27" t="s">
        <v>221</v>
      </c>
      <c r="C130" s="27">
        <v>11</v>
      </c>
    </row>
    <row r="131" spans="2:3" ht="18.75" x14ac:dyDescent="0.35">
      <c r="B131" s="27" t="s">
        <v>221</v>
      </c>
      <c r="C131" s="27">
        <v>12</v>
      </c>
    </row>
    <row r="132" spans="2:3" ht="18.75" x14ac:dyDescent="0.35">
      <c r="B132" s="27" t="s">
        <v>221</v>
      </c>
      <c r="C132" s="27">
        <v>13</v>
      </c>
    </row>
    <row r="133" spans="2:3" ht="18.75" x14ac:dyDescent="0.35">
      <c r="B133" s="27" t="s">
        <v>221</v>
      </c>
      <c r="C133" s="27">
        <v>14</v>
      </c>
    </row>
    <row r="134" spans="2:3" ht="18.75" x14ac:dyDescent="0.35">
      <c r="B134" s="27" t="s">
        <v>221</v>
      </c>
      <c r="C134" s="27">
        <v>15</v>
      </c>
    </row>
    <row r="135" spans="2:3" ht="18.75" x14ac:dyDescent="0.35">
      <c r="B135" s="27" t="s">
        <v>222</v>
      </c>
      <c r="C135" s="27">
        <v>1</v>
      </c>
    </row>
    <row r="136" spans="2:3" ht="18.75" x14ac:dyDescent="0.35">
      <c r="B136" s="27" t="s">
        <v>222</v>
      </c>
      <c r="C136" s="27">
        <v>2</v>
      </c>
    </row>
    <row r="137" spans="2:3" ht="18.75" x14ac:dyDescent="0.35">
      <c r="B137" s="27" t="s">
        <v>222</v>
      </c>
      <c r="C137" s="27">
        <v>3</v>
      </c>
    </row>
    <row r="138" spans="2:3" ht="18.75" x14ac:dyDescent="0.35">
      <c r="B138" s="27" t="s">
        <v>222</v>
      </c>
      <c r="C138" s="27">
        <v>4</v>
      </c>
    </row>
    <row r="139" spans="2:3" ht="18.75" x14ac:dyDescent="0.35">
      <c r="B139" s="27" t="s">
        <v>222</v>
      </c>
      <c r="C139" s="27">
        <v>5</v>
      </c>
    </row>
    <row r="140" spans="2:3" ht="18.75" x14ac:dyDescent="0.35">
      <c r="B140" s="27" t="s">
        <v>222</v>
      </c>
      <c r="C140" s="27">
        <v>6</v>
      </c>
    </row>
    <row r="141" spans="2:3" ht="18.75" x14ac:dyDescent="0.35">
      <c r="B141" s="27" t="s">
        <v>222</v>
      </c>
      <c r="C141" s="27">
        <v>7</v>
      </c>
    </row>
    <row r="142" spans="2:3" ht="18.75" x14ac:dyDescent="0.35">
      <c r="B142" s="27" t="s">
        <v>222</v>
      </c>
      <c r="C142" s="27">
        <v>8</v>
      </c>
    </row>
    <row r="143" spans="2:3" ht="18.75" x14ac:dyDescent="0.35">
      <c r="B143" s="27" t="s">
        <v>222</v>
      </c>
      <c r="C143" s="27">
        <v>9</v>
      </c>
    </row>
    <row r="144" spans="2:3" ht="18.75" x14ac:dyDescent="0.35">
      <c r="B144" s="27" t="s">
        <v>222</v>
      </c>
      <c r="C144" s="27">
        <v>10</v>
      </c>
    </row>
    <row r="145" spans="2:3" ht="18.75" x14ac:dyDescent="0.35">
      <c r="B145" s="27" t="s">
        <v>222</v>
      </c>
      <c r="C145" s="27">
        <v>11</v>
      </c>
    </row>
    <row r="146" spans="2:3" ht="18.75" x14ac:dyDescent="0.35">
      <c r="B146" s="27" t="s">
        <v>222</v>
      </c>
      <c r="C146" s="27">
        <v>12</v>
      </c>
    </row>
    <row r="147" spans="2:3" ht="18.75" x14ac:dyDescent="0.35">
      <c r="B147" s="27" t="s">
        <v>222</v>
      </c>
      <c r="C147" s="27">
        <v>13</v>
      </c>
    </row>
    <row r="148" spans="2:3" ht="18.75" x14ac:dyDescent="0.35">
      <c r="B148" s="27" t="s">
        <v>222</v>
      </c>
      <c r="C148" s="27">
        <v>14</v>
      </c>
    </row>
    <row r="149" spans="2:3" ht="18.75" x14ac:dyDescent="0.35">
      <c r="B149" s="27" t="s">
        <v>222</v>
      </c>
      <c r="C149" s="27"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3BC2-B44E-4B97-BCA8-EE3202B818A0}">
  <sheetPr codeName="Sheet1"/>
  <dimension ref="A1:L75"/>
  <sheetViews>
    <sheetView zoomScale="70" zoomScaleNormal="70" workbookViewId="0">
      <selection activeCell="I2" sqref="I2:I75"/>
    </sheetView>
  </sheetViews>
  <sheetFormatPr defaultRowHeight="15" x14ac:dyDescent="0.25"/>
  <cols>
    <col min="2" max="2" width="10" bestFit="1" customWidth="1"/>
    <col min="3" max="3" width="18.5703125" bestFit="1" customWidth="1"/>
    <col min="4" max="4" width="7.85546875" bestFit="1" customWidth="1"/>
    <col min="5" max="5" width="11.140625" bestFit="1" customWidth="1"/>
    <col min="6" max="6" width="42.42578125" customWidth="1"/>
  </cols>
  <sheetData>
    <row r="1" spans="1:12" x14ac:dyDescent="0.25">
      <c r="A1" t="s">
        <v>39</v>
      </c>
      <c r="B1" s="51" t="s">
        <v>223</v>
      </c>
      <c r="C1" t="s">
        <v>224</v>
      </c>
      <c r="D1" t="s">
        <v>43</v>
      </c>
      <c r="E1" t="s">
        <v>122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</row>
    <row r="2" spans="1:12" x14ac:dyDescent="0.25">
      <c r="A2">
        <v>1</v>
      </c>
      <c r="B2" s="51" t="s">
        <v>233</v>
      </c>
      <c r="C2" t="s">
        <v>234</v>
      </c>
      <c r="D2" t="s">
        <v>157</v>
      </c>
      <c r="E2" t="s">
        <v>389</v>
      </c>
      <c r="F2" t="str">
        <f>"RESTORE DATABASE ["&amp;B2&amp;"] FROM DISK='E:\232_AIS_CK\DataMau.mbk'  WITH MOVE 'MISASME2015' TO 'E:\232_AIS_CK\"&amp;E2&amp;"\"&amp;B2&amp;".mdf', MOVE 'MISASME2015_log' TO 'E:\232_AIS_CK\"&amp;E2&amp;"\"&amp;B2&amp;".ldf';"</f>
        <v>RESTORE DATABASE [22670151] FROM DISK='E:\232_AIS_CK\DataMau.mbk'  WITH MOVE 'MISASME2015' TO 'E:\232_AIS_CK\DHKTKT18A\22670151.mdf', MOVE 'MISASME2015_log' TO 'E:\232_AIS_CK\DHKTKT18A\22670151.ldf';</v>
      </c>
      <c r="G2" t="str">
        <f>"use ["&amp;B2&amp;"];   update MSC_User set UserName='"&amp;B2&amp;"',FullName=N'"&amp;C2&amp;" "&amp;D2&amp;"',FirstName=N'"&amp;D2&amp;"',LastName=N'"&amp;C2&amp;"' where UserName='SV'"</f>
        <v>use [22670151];   update MSC_User set UserName='22670151',FullName=N'Nguyễn Anh An',FirstName=N'An',LastName=N'Nguyễn Anh' where UserName='SV'</v>
      </c>
      <c r="H2" t="str">
        <f>"ALTER DATABASE ["&amp;B2&amp;"] SET OFFLINE WITH ROLLBACK IMMEDIATE"</f>
        <v>ALTER DATABASE [22670151] SET OFFLINE WITH ROLLBACK IMMEDIATE</v>
      </c>
      <c r="I2" t="str">
        <f>"ALTER DATABASE ["&amp;B2&amp;"] SET ONLINE"</f>
        <v>ALTER DATABASE [22670151] SET ONLINE</v>
      </c>
      <c r="J2" t="str">
        <f>"insert into [SVLogin].dbo.DuLieu select UserName, FirstName, LastName from ["&amp;B2&amp;"].dbo.MSC_User where UserName &lt;&gt; '0983125672' and MISAID is not null"</f>
        <v>insert into [SVLogin].dbo.DuLieu select UserName, FirstName, LastName from [22670151].dbo.MSC_User where UserName &lt;&gt; '0983125672' and MISAID is not null</v>
      </c>
      <c r="K2" t="str">
        <f>"EXEC sp_detach_db '"&amp;B2&amp;"', 'true';"</f>
        <v>EXEC sp_detach_db '22670151', 'true';</v>
      </c>
      <c r="L2" t="str">
        <f>"DROP DATABASE ["&amp;B2&amp;"]"</f>
        <v>DROP DATABASE [22670151]</v>
      </c>
    </row>
    <row r="3" spans="1:12" x14ac:dyDescent="0.25">
      <c r="A3">
        <v>2</v>
      </c>
      <c r="B3" s="51" t="s">
        <v>235</v>
      </c>
      <c r="C3" t="s">
        <v>236</v>
      </c>
      <c r="D3" t="s">
        <v>158</v>
      </c>
      <c r="E3" t="s">
        <v>389</v>
      </c>
      <c r="F3" t="str">
        <f t="shared" ref="F3:F66" si="0">"RESTORE DATABASE ["&amp;B3&amp;"] FROM DISK='E:\232_AIS_CK\DataMau.mbk'  WITH MOVE 'MISASME2015' TO 'E:\232_AIS_CK\"&amp;E3&amp;"\"&amp;B3&amp;".mdf', MOVE 'MISASME2015_log' TO 'E:\232_AIS_CK\"&amp;E3&amp;"\"&amp;B3&amp;".ldf';"</f>
        <v>RESTORE DATABASE [20121301] FROM DISK='E:\232_AIS_CK\DataMau.mbk'  WITH MOVE 'MISASME2015' TO 'E:\232_AIS_CK\DHKTKT18A\20121301.mdf', MOVE 'MISASME2015_log' TO 'E:\232_AIS_CK\DHKTKT18A\20121301.ldf';</v>
      </c>
      <c r="G3" t="str">
        <f t="shared" ref="G3:G66" si="1">"use ["&amp;B3&amp;"];   update MSC_User set UserName='"&amp;B3&amp;"',FullName=N'"&amp;C3&amp;" "&amp;D3&amp;"',FirstName=N'"&amp;D3&amp;"',LastName=N'"&amp;C3&amp;"' where UserName='SV'"</f>
        <v>use [20121301];   update MSC_User set UserName='20121301',FullName=N'Đinh Thị Phương Anh',FirstName=N'Anh',LastName=N'Đinh Thị Phương' where UserName='SV'</v>
      </c>
      <c r="H3" t="str">
        <f t="shared" ref="H3:H66" si="2">"ALTER DATABASE ["&amp;B3&amp;"] SET OFFLINE WITH ROLLBACK IMMEDIATE"</f>
        <v>ALTER DATABASE [20121301] SET OFFLINE WITH ROLLBACK IMMEDIATE</v>
      </c>
      <c r="I3" t="str">
        <f t="shared" ref="I3:I66" si="3">"ALTER DATABASE ["&amp;B3&amp;"] SET ONLINE"</f>
        <v>ALTER DATABASE [20121301] SET ONLINE</v>
      </c>
      <c r="J3" t="str">
        <f t="shared" ref="J3:J66" si="4">"insert into [SVLogin].dbo.DuLieu select UserName, FirstName, LastName from ["&amp;B3&amp;"].dbo.MSC_User where UserName &lt;&gt; '0983125672' and MISAID is not null"</f>
        <v>insert into [SVLogin].dbo.DuLieu select UserName, FirstName, LastName from [20121301].dbo.MSC_User where UserName &lt;&gt; '0983125672' and MISAID is not null</v>
      </c>
      <c r="K3" t="str">
        <f t="shared" ref="K3:K66" si="5">"EXEC sp_detach_db '"&amp;B3&amp;"', 'true';"</f>
        <v>EXEC sp_detach_db '20121301', 'true';</v>
      </c>
      <c r="L3" t="str">
        <f t="shared" ref="L3:L66" si="6">"DROP DATABASE ["&amp;B3&amp;"]"</f>
        <v>DROP DATABASE [20121301]</v>
      </c>
    </row>
    <row r="4" spans="1:12" x14ac:dyDescent="0.25">
      <c r="A4">
        <v>3</v>
      </c>
      <c r="B4" s="51" t="s">
        <v>237</v>
      </c>
      <c r="C4" t="s">
        <v>238</v>
      </c>
      <c r="D4" t="s">
        <v>158</v>
      </c>
      <c r="E4" t="s">
        <v>389</v>
      </c>
      <c r="F4" t="str">
        <f t="shared" si="0"/>
        <v>RESTORE DATABASE [20048621] FROM DISK='E:\232_AIS_CK\DataMau.mbk'  WITH MOVE 'MISASME2015' TO 'E:\232_AIS_CK\DHKTKT18A\20048621.mdf', MOVE 'MISASME2015_log' TO 'E:\232_AIS_CK\DHKTKT18A\20048621.ldf';</v>
      </c>
      <c r="G4" t="str">
        <f t="shared" si="1"/>
        <v>use [20048621];   update MSC_User set UserName='20048621',FullName=N'Nguyễn Thị Diệu Anh',FirstName=N'Anh',LastName=N'Nguyễn Thị Diệu' where UserName='SV'</v>
      </c>
      <c r="H4" t="str">
        <f t="shared" si="2"/>
        <v>ALTER DATABASE [20048621] SET OFFLINE WITH ROLLBACK IMMEDIATE</v>
      </c>
      <c r="I4" t="str">
        <f t="shared" si="3"/>
        <v>ALTER DATABASE [20048621] SET ONLINE</v>
      </c>
      <c r="J4" t="str">
        <f t="shared" si="4"/>
        <v>insert into [SVLogin].dbo.DuLieu select UserName, FirstName, LastName from [20048621].dbo.MSC_User where UserName &lt;&gt; '0983125672' and MISAID is not null</v>
      </c>
      <c r="K4" t="str">
        <f t="shared" si="5"/>
        <v>EXEC sp_detach_db '20048621', 'true';</v>
      </c>
      <c r="L4" t="str">
        <f t="shared" si="6"/>
        <v>DROP DATABASE [20048621]</v>
      </c>
    </row>
    <row r="5" spans="1:12" x14ac:dyDescent="0.25">
      <c r="A5">
        <v>4</v>
      </c>
      <c r="B5" s="51" t="s">
        <v>239</v>
      </c>
      <c r="C5" t="s">
        <v>240</v>
      </c>
      <c r="D5" t="s">
        <v>158</v>
      </c>
      <c r="E5" t="s">
        <v>389</v>
      </c>
      <c r="F5" t="str">
        <f t="shared" si="0"/>
        <v>RESTORE DATABASE [22668961] FROM DISK='E:\232_AIS_CK\DataMau.mbk'  WITH MOVE 'MISASME2015' TO 'E:\232_AIS_CK\DHKTKT18A\22668961.mdf', MOVE 'MISASME2015_log' TO 'E:\232_AIS_CK\DHKTKT18A\22668961.ldf';</v>
      </c>
      <c r="G5" t="str">
        <f t="shared" si="1"/>
        <v>use [22668961];   update MSC_User set UserName='22668961',FullName=N'Võ Tuyết Anh',FirstName=N'Anh',LastName=N'Võ Tuyết' where UserName='SV'</v>
      </c>
      <c r="H5" t="str">
        <f t="shared" si="2"/>
        <v>ALTER DATABASE [22668961] SET OFFLINE WITH ROLLBACK IMMEDIATE</v>
      </c>
      <c r="I5" t="str">
        <f t="shared" si="3"/>
        <v>ALTER DATABASE [22668961] SET ONLINE</v>
      </c>
      <c r="J5" t="str">
        <f t="shared" si="4"/>
        <v>insert into [SVLogin].dbo.DuLieu select UserName, FirstName, LastName from [22668961].dbo.MSC_User where UserName &lt;&gt; '0983125672' and MISAID is not null</v>
      </c>
      <c r="K5" t="str">
        <f t="shared" si="5"/>
        <v>EXEC sp_detach_db '22668961', 'true';</v>
      </c>
      <c r="L5" t="str">
        <f t="shared" si="6"/>
        <v>DROP DATABASE [22668961]</v>
      </c>
    </row>
    <row r="6" spans="1:12" x14ac:dyDescent="0.25">
      <c r="A6">
        <v>5</v>
      </c>
      <c r="B6" s="51" t="s">
        <v>241</v>
      </c>
      <c r="C6" t="s">
        <v>242</v>
      </c>
      <c r="D6" t="s">
        <v>243</v>
      </c>
      <c r="E6" t="s">
        <v>389</v>
      </c>
      <c r="F6" t="str">
        <f t="shared" si="0"/>
        <v>RESTORE DATABASE [22657811] FROM DISK='E:\232_AIS_CK\DataMau.mbk'  WITH MOVE 'MISASME2015' TO 'E:\232_AIS_CK\DHKTKT18A\22657811.mdf', MOVE 'MISASME2015_log' TO 'E:\232_AIS_CK\DHKTKT18A\22657811.ldf';</v>
      </c>
      <c r="G6" t="str">
        <f t="shared" si="1"/>
        <v>use [22657811];   update MSC_User set UserName='22657811',FullName=N'Lê Thị Ngọc Ánh',FirstName=N'Ánh',LastName=N'Lê Thị Ngọc' where UserName='SV'</v>
      </c>
      <c r="H6" t="str">
        <f t="shared" si="2"/>
        <v>ALTER DATABASE [22657811] SET OFFLINE WITH ROLLBACK IMMEDIATE</v>
      </c>
      <c r="I6" t="str">
        <f t="shared" si="3"/>
        <v>ALTER DATABASE [22657811] SET ONLINE</v>
      </c>
      <c r="J6" t="str">
        <f t="shared" si="4"/>
        <v>insert into [SVLogin].dbo.DuLieu select UserName, FirstName, LastName from [22657811].dbo.MSC_User where UserName &lt;&gt; '0983125672' and MISAID is not null</v>
      </c>
      <c r="K6" t="str">
        <f t="shared" si="5"/>
        <v>EXEC sp_detach_db '22657811', 'true';</v>
      </c>
      <c r="L6" t="str">
        <f t="shared" si="6"/>
        <v>DROP DATABASE [22657811]</v>
      </c>
    </row>
    <row r="7" spans="1:12" x14ac:dyDescent="0.25">
      <c r="A7">
        <v>6</v>
      </c>
      <c r="B7" s="51" t="s">
        <v>244</v>
      </c>
      <c r="C7" t="s">
        <v>245</v>
      </c>
      <c r="D7" t="s">
        <v>246</v>
      </c>
      <c r="E7" t="s">
        <v>389</v>
      </c>
      <c r="F7" t="str">
        <f t="shared" si="0"/>
        <v>RESTORE DATABASE [22682661] FROM DISK='E:\232_AIS_CK\DataMau.mbk'  WITH MOVE 'MISASME2015' TO 'E:\232_AIS_CK\DHKTKT18A\22682661.mdf', MOVE 'MISASME2015_log' TO 'E:\232_AIS_CK\DHKTKT18A\22682661.ldf';</v>
      </c>
      <c r="G7" t="str">
        <f t="shared" si="1"/>
        <v>use [22682661];   update MSC_User set UserName='22682661',FullName=N'Nông Thị Ngọc Châm',FirstName=N'Châm',LastName=N'Nông Thị Ngọc' where UserName='SV'</v>
      </c>
      <c r="H7" t="str">
        <f t="shared" si="2"/>
        <v>ALTER DATABASE [22682661] SET OFFLINE WITH ROLLBACK IMMEDIATE</v>
      </c>
      <c r="I7" t="str">
        <f t="shared" si="3"/>
        <v>ALTER DATABASE [22682661] SET ONLINE</v>
      </c>
      <c r="J7" t="str">
        <f t="shared" si="4"/>
        <v>insert into [SVLogin].dbo.DuLieu select UserName, FirstName, LastName from [22682661].dbo.MSC_User where UserName &lt;&gt; '0983125672' and MISAID is not null</v>
      </c>
      <c r="K7" t="str">
        <f t="shared" si="5"/>
        <v>EXEC sp_detach_db '22682661', 'true';</v>
      </c>
      <c r="L7" t="str">
        <f t="shared" si="6"/>
        <v>DROP DATABASE [22682661]</v>
      </c>
    </row>
    <row r="8" spans="1:12" x14ac:dyDescent="0.25">
      <c r="A8">
        <v>7</v>
      </c>
      <c r="B8" s="51" t="s">
        <v>247</v>
      </c>
      <c r="C8" t="s">
        <v>248</v>
      </c>
      <c r="D8" t="s">
        <v>249</v>
      </c>
      <c r="E8" t="s">
        <v>389</v>
      </c>
      <c r="F8" t="str">
        <f t="shared" si="0"/>
        <v>RESTORE DATABASE [21082391] FROM DISK='E:\232_AIS_CK\DataMau.mbk'  WITH MOVE 'MISASME2015' TO 'E:\232_AIS_CK\DHKTKT18A\21082391.mdf', MOVE 'MISASME2015_log' TO 'E:\232_AIS_CK\DHKTKT18A\21082391.ldf';</v>
      </c>
      <c r="G8" t="str">
        <f t="shared" si="1"/>
        <v>use [21082391];   update MSC_User set UserName='21082391',FullName=N'Phan Nguyễn Tiến Đạt',FirstName=N'Đạt',LastName=N'Phan Nguyễn Tiến' where UserName='SV'</v>
      </c>
      <c r="H8" t="str">
        <f t="shared" si="2"/>
        <v>ALTER DATABASE [21082391] SET OFFLINE WITH ROLLBACK IMMEDIATE</v>
      </c>
      <c r="I8" t="str">
        <f t="shared" si="3"/>
        <v>ALTER DATABASE [21082391] SET ONLINE</v>
      </c>
      <c r="J8" t="str">
        <f t="shared" si="4"/>
        <v>insert into [SVLogin].dbo.DuLieu select UserName, FirstName, LastName from [21082391].dbo.MSC_User where UserName &lt;&gt; '0983125672' and MISAID is not null</v>
      </c>
      <c r="K8" t="str">
        <f t="shared" si="5"/>
        <v>EXEC sp_detach_db '21082391', 'true';</v>
      </c>
      <c r="L8" t="str">
        <f t="shared" si="6"/>
        <v>DROP DATABASE [21082391]</v>
      </c>
    </row>
    <row r="9" spans="1:12" x14ac:dyDescent="0.25">
      <c r="A9">
        <v>8</v>
      </c>
      <c r="B9" s="51" t="s">
        <v>250</v>
      </c>
      <c r="C9" t="s">
        <v>251</v>
      </c>
      <c r="D9" t="s">
        <v>249</v>
      </c>
      <c r="E9" t="s">
        <v>389</v>
      </c>
      <c r="F9" t="str">
        <f t="shared" si="0"/>
        <v>RESTORE DATABASE [22705041] FROM DISK='E:\232_AIS_CK\DataMau.mbk'  WITH MOVE 'MISASME2015' TO 'E:\232_AIS_CK\DHKTKT18A\22705041.mdf', MOVE 'MISASME2015_log' TO 'E:\232_AIS_CK\DHKTKT18A\22705041.ldf';</v>
      </c>
      <c r="G9" t="str">
        <f t="shared" si="1"/>
        <v>use [22705041];   update MSC_User set UserName='22705041',FullName=N'Võ Thành Đạt',FirstName=N'Đạt',LastName=N'Võ Thành' where UserName='SV'</v>
      </c>
      <c r="H9" t="str">
        <f t="shared" si="2"/>
        <v>ALTER DATABASE [22705041] SET OFFLINE WITH ROLLBACK IMMEDIATE</v>
      </c>
      <c r="I9" t="str">
        <f t="shared" si="3"/>
        <v>ALTER DATABASE [22705041] SET ONLINE</v>
      </c>
      <c r="J9" t="str">
        <f t="shared" si="4"/>
        <v>insert into [SVLogin].dbo.DuLieu select UserName, FirstName, LastName from [22705041].dbo.MSC_User where UserName &lt;&gt; '0983125672' and MISAID is not null</v>
      </c>
      <c r="K9" t="str">
        <f t="shared" si="5"/>
        <v>EXEC sp_detach_db '22705041', 'true';</v>
      </c>
      <c r="L9" t="str">
        <f t="shared" si="6"/>
        <v>DROP DATABASE [22705041]</v>
      </c>
    </row>
    <row r="10" spans="1:12" x14ac:dyDescent="0.25">
      <c r="A10">
        <v>9</v>
      </c>
      <c r="B10" s="51" t="s">
        <v>252</v>
      </c>
      <c r="C10" t="s">
        <v>253</v>
      </c>
      <c r="D10" t="s">
        <v>184</v>
      </c>
      <c r="E10" t="s">
        <v>389</v>
      </c>
      <c r="F10" t="str">
        <f t="shared" si="0"/>
        <v>RESTORE DATABASE [20039311] FROM DISK='E:\232_AIS_CK\DataMau.mbk'  WITH MOVE 'MISASME2015' TO 'E:\232_AIS_CK\DHKTKT18A\20039311.mdf', MOVE 'MISASME2015_log' TO 'E:\232_AIS_CK\DHKTKT18A\20039311.ldf';</v>
      </c>
      <c r="G10" t="str">
        <f t="shared" si="1"/>
        <v>use [20039311];   update MSC_User set UserName='20039311',FullName=N'Nguyễn Thị Thuỳ Dung',FirstName=N'Dung',LastName=N'Nguyễn Thị Thuỳ' where UserName='SV'</v>
      </c>
      <c r="H10" t="str">
        <f t="shared" si="2"/>
        <v>ALTER DATABASE [20039311] SET OFFLINE WITH ROLLBACK IMMEDIATE</v>
      </c>
      <c r="I10" t="str">
        <f t="shared" si="3"/>
        <v>ALTER DATABASE [20039311] SET ONLINE</v>
      </c>
      <c r="J10" t="str">
        <f t="shared" si="4"/>
        <v>insert into [SVLogin].dbo.DuLieu select UserName, FirstName, LastName from [20039311].dbo.MSC_User where UserName &lt;&gt; '0983125672' and MISAID is not null</v>
      </c>
      <c r="K10" t="str">
        <f t="shared" si="5"/>
        <v>EXEC sp_detach_db '20039311', 'true';</v>
      </c>
      <c r="L10" t="str">
        <f t="shared" si="6"/>
        <v>DROP DATABASE [20039311]</v>
      </c>
    </row>
    <row r="11" spans="1:12" x14ac:dyDescent="0.25">
      <c r="A11">
        <v>10</v>
      </c>
      <c r="B11" s="51" t="s">
        <v>254</v>
      </c>
      <c r="C11" t="s">
        <v>168</v>
      </c>
      <c r="D11" t="s">
        <v>181</v>
      </c>
      <c r="E11" t="s">
        <v>389</v>
      </c>
      <c r="F11" t="str">
        <f t="shared" si="0"/>
        <v>RESTORE DATABASE [21082981] FROM DISK='E:\232_AIS_CK\DataMau.mbk'  WITH MOVE 'MISASME2015' TO 'E:\232_AIS_CK\DHKTKT18A\21082981.mdf', MOVE 'MISASME2015_log' TO 'E:\232_AIS_CK\DHKTKT18A\21082981.ldf';</v>
      </c>
      <c r="G11" t="str">
        <f t="shared" si="1"/>
        <v>use [21082981];   update MSC_User set UserName='21082981',FullName=N'Nguyễn Thị Thanh Duy',FirstName=N'Duy',LastName=N'Nguyễn Thị Thanh' where UserName='SV'</v>
      </c>
      <c r="H11" t="str">
        <f t="shared" si="2"/>
        <v>ALTER DATABASE [21082981] SET OFFLINE WITH ROLLBACK IMMEDIATE</v>
      </c>
      <c r="I11" t="str">
        <f t="shared" si="3"/>
        <v>ALTER DATABASE [21082981] SET ONLINE</v>
      </c>
      <c r="J11" t="str">
        <f t="shared" si="4"/>
        <v>insert into [SVLogin].dbo.DuLieu select UserName, FirstName, LastName from [21082981].dbo.MSC_User where UserName &lt;&gt; '0983125672' and MISAID is not null</v>
      </c>
      <c r="K11" t="str">
        <f t="shared" si="5"/>
        <v>EXEC sp_detach_db '21082981', 'true';</v>
      </c>
      <c r="L11" t="str">
        <f t="shared" si="6"/>
        <v>DROP DATABASE [21082981]</v>
      </c>
    </row>
    <row r="12" spans="1:12" x14ac:dyDescent="0.25">
      <c r="A12">
        <v>11</v>
      </c>
      <c r="B12" s="51" t="s">
        <v>255</v>
      </c>
      <c r="C12" t="s">
        <v>256</v>
      </c>
      <c r="D12" t="s">
        <v>181</v>
      </c>
      <c r="E12" t="s">
        <v>389</v>
      </c>
      <c r="F12" t="str">
        <f t="shared" si="0"/>
        <v>RESTORE DATABASE [22685951] FROM DISK='E:\232_AIS_CK\DataMau.mbk'  WITH MOVE 'MISASME2015' TO 'E:\232_AIS_CK\DHKTKT18A\22685951.mdf', MOVE 'MISASME2015_log' TO 'E:\232_AIS_CK\DHKTKT18A\22685951.ldf';</v>
      </c>
      <c r="G12" t="str">
        <f t="shared" si="1"/>
        <v>use [22685951];   update MSC_User set UserName='22685951',FullName=N'Phạm Thị Thúy Duy',FirstName=N'Duy',LastName=N'Phạm Thị Thúy' where UserName='SV'</v>
      </c>
      <c r="H12" t="str">
        <f t="shared" si="2"/>
        <v>ALTER DATABASE [22685951] SET OFFLINE WITH ROLLBACK IMMEDIATE</v>
      </c>
      <c r="I12" t="str">
        <f t="shared" si="3"/>
        <v>ALTER DATABASE [22685951] SET ONLINE</v>
      </c>
      <c r="J12" t="str">
        <f t="shared" si="4"/>
        <v>insert into [SVLogin].dbo.DuLieu select UserName, FirstName, LastName from [22685951].dbo.MSC_User where UserName &lt;&gt; '0983125672' and MISAID is not null</v>
      </c>
      <c r="K12" t="str">
        <f t="shared" si="5"/>
        <v>EXEC sp_detach_db '22685951', 'true';</v>
      </c>
      <c r="L12" t="str">
        <f t="shared" si="6"/>
        <v>DROP DATABASE [22685951]</v>
      </c>
    </row>
    <row r="13" spans="1:12" x14ac:dyDescent="0.25">
      <c r="A13">
        <v>12</v>
      </c>
      <c r="B13" s="51" t="s">
        <v>257</v>
      </c>
      <c r="C13" t="s">
        <v>258</v>
      </c>
      <c r="D13" t="s">
        <v>185</v>
      </c>
      <c r="E13" t="s">
        <v>389</v>
      </c>
      <c r="F13" t="str">
        <f t="shared" si="0"/>
        <v>RESTORE DATABASE [22705321] FROM DISK='E:\232_AIS_CK\DataMau.mbk'  WITH MOVE 'MISASME2015' TO 'E:\232_AIS_CK\DHKTKT18A\22705321.mdf', MOVE 'MISASME2015_log' TO 'E:\232_AIS_CK\DHKTKT18A\22705321.ldf';</v>
      </c>
      <c r="G13" t="str">
        <f t="shared" si="1"/>
        <v>use [22705321];   update MSC_User set UserName='22705321',FullName=N'Nguyễn Trà Giang',FirstName=N'Giang',LastName=N'Nguyễn Trà' where UserName='SV'</v>
      </c>
      <c r="H13" t="str">
        <f t="shared" si="2"/>
        <v>ALTER DATABASE [22705321] SET OFFLINE WITH ROLLBACK IMMEDIATE</v>
      </c>
      <c r="I13" t="str">
        <f t="shared" si="3"/>
        <v>ALTER DATABASE [22705321] SET ONLINE</v>
      </c>
      <c r="J13" t="str">
        <f t="shared" si="4"/>
        <v>insert into [SVLogin].dbo.DuLieu select UserName, FirstName, LastName from [22705321].dbo.MSC_User where UserName &lt;&gt; '0983125672' and MISAID is not null</v>
      </c>
      <c r="K13" t="str">
        <f t="shared" si="5"/>
        <v>EXEC sp_detach_db '22705321', 'true';</v>
      </c>
      <c r="L13" t="str">
        <f t="shared" si="6"/>
        <v>DROP DATABASE [22705321]</v>
      </c>
    </row>
    <row r="14" spans="1:12" x14ac:dyDescent="0.25">
      <c r="A14">
        <v>13</v>
      </c>
      <c r="B14" s="51" t="s">
        <v>259</v>
      </c>
      <c r="C14" t="s">
        <v>168</v>
      </c>
      <c r="D14" t="s">
        <v>260</v>
      </c>
      <c r="E14" t="s">
        <v>389</v>
      </c>
      <c r="F14" t="str">
        <f t="shared" si="0"/>
        <v>RESTORE DATABASE [22670511] FROM DISK='E:\232_AIS_CK\DataMau.mbk'  WITH MOVE 'MISASME2015' TO 'E:\232_AIS_CK\DHKTKT18A\22670511.mdf', MOVE 'MISASME2015_log' TO 'E:\232_AIS_CK\DHKTKT18A\22670511.ldf';</v>
      </c>
      <c r="G14" t="str">
        <f t="shared" si="1"/>
        <v>use [22670511];   update MSC_User set UserName='22670511',FullName=N'Nguyễn Thị Thanh Hà',FirstName=N'Hà',LastName=N'Nguyễn Thị Thanh' where UserName='SV'</v>
      </c>
      <c r="H14" t="str">
        <f t="shared" si="2"/>
        <v>ALTER DATABASE [22670511] SET OFFLINE WITH ROLLBACK IMMEDIATE</v>
      </c>
      <c r="I14" t="str">
        <f t="shared" si="3"/>
        <v>ALTER DATABASE [22670511] SET ONLINE</v>
      </c>
      <c r="J14" t="str">
        <f t="shared" si="4"/>
        <v>insert into [SVLogin].dbo.DuLieu select UserName, FirstName, LastName from [22670511].dbo.MSC_User where UserName &lt;&gt; '0983125672' and MISAID is not null</v>
      </c>
      <c r="K14" t="str">
        <f t="shared" si="5"/>
        <v>EXEC sp_detach_db '22670511', 'true';</v>
      </c>
      <c r="L14" t="str">
        <f t="shared" si="6"/>
        <v>DROP DATABASE [22670511]</v>
      </c>
    </row>
    <row r="15" spans="1:12" x14ac:dyDescent="0.25">
      <c r="A15">
        <v>14</v>
      </c>
      <c r="B15" s="51" t="s">
        <v>261</v>
      </c>
      <c r="C15" t="s">
        <v>262</v>
      </c>
      <c r="D15" t="s">
        <v>263</v>
      </c>
      <c r="E15" t="s">
        <v>389</v>
      </c>
      <c r="F15" t="str">
        <f t="shared" si="0"/>
        <v>RESTORE DATABASE [22641331] FROM DISK='E:\232_AIS_CK\DataMau.mbk'  WITH MOVE 'MISASME2015' TO 'E:\232_AIS_CK\DHKTKT18A\22641331.mdf', MOVE 'MISASME2015_log' TO 'E:\232_AIS_CK\DHKTKT18A\22641331.ldf';</v>
      </c>
      <c r="G15" t="str">
        <f t="shared" si="1"/>
        <v>use [22641331];   update MSC_User set UserName='22641331',FullName=N'Bùi Thị Mỹ Hằng',FirstName=N'Hằng',LastName=N'Bùi Thị Mỹ' where UserName='SV'</v>
      </c>
      <c r="H15" t="str">
        <f t="shared" si="2"/>
        <v>ALTER DATABASE [22641331] SET OFFLINE WITH ROLLBACK IMMEDIATE</v>
      </c>
      <c r="I15" t="str">
        <f t="shared" si="3"/>
        <v>ALTER DATABASE [22641331] SET ONLINE</v>
      </c>
      <c r="J15" t="str">
        <f t="shared" si="4"/>
        <v>insert into [SVLogin].dbo.DuLieu select UserName, FirstName, LastName from [22641331].dbo.MSC_User where UserName &lt;&gt; '0983125672' and MISAID is not null</v>
      </c>
      <c r="K15" t="str">
        <f t="shared" si="5"/>
        <v>EXEC sp_detach_db '22641331', 'true';</v>
      </c>
      <c r="L15" t="str">
        <f t="shared" si="6"/>
        <v>DROP DATABASE [22641331]</v>
      </c>
    </row>
    <row r="16" spans="1:12" x14ac:dyDescent="0.25">
      <c r="A16">
        <v>15</v>
      </c>
      <c r="B16" s="51" t="s">
        <v>264</v>
      </c>
      <c r="C16" t="s">
        <v>182</v>
      </c>
      <c r="D16" t="s">
        <v>159</v>
      </c>
      <c r="E16" t="s">
        <v>389</v>
      </c>
      <c r="F16" t="str">
        <f t="shared" si="0"/>
        <v>RESTORE DATABASE [21038811] FROM DISK='E:\232_AIS_CK\DataMau.mbk'  WITH MOVE 'MISASME2015' TO 'E:\232_AIS_CK\DHKTKT18A\21038811.mdf', MOVE 'MISASME2015_log' TO 'E:\232_AIS_CK\DHKTKT18A\21038811.ldf';</v>
      </c>
      <c r="G16" t="str">
        <f t="shared" si="1"/>
        <v>use [21038811];   update MSC_User set UserName='21038811',FullName=N'Nguyễn Thị Thu Hiền',FirstName=N'Hiền',LastName=N'Nguyễn Thị Thu' where UserName='SV'</v>
      </c>
      <c r="H16" t="str">
        <f t="shared" si="2"/>
        <v>ALTER DATABASE [21038811] SET OFFLINE WITH ROLLBACK IMMEDIATE</v>
      </c>
      <c r="I16" t="str">
        <f t="shared" si="3"/>
        <v>ALTER DATABASE [21038811] SET ONLINE</v>
      </c>
      <c r="J16" t="str">
        <f t="shared" si="4"/>
        <v>insert into [SVLogin].dbo.DuLieu select UserName, FirstName, LastName from [21038811].dbo.MSC_User where UserName &lt;&gt; '0983125672' and MISAID is not null</v>
      </c>
      <c r="K16" t="str">
        <f t="shared" si="5"/>
        <v>EXEC sp_detach_db '21038811', 'true';</v>
      </c>
      <c r="L16" t="str">
        <f t="shared" si="6"/>
        <v>DROP DATABASE [21038811]</v>
      </c>
    </row>
    <row r="17" spans="1:12" x14ac:dyDescent="0.25">
      <c r="A17">
        <v>16</v>
      </c>
      <c r="B17" s="51" t="s">
        <v>265</v>
      </c>
      <c r="C17" t="s">
        <v>161</v>
      </c>
      <c r="D17" t="s">
        <v>266</v>
      </c>
      <c r="E17" t="s">
        <v>389</v>
      </c>
      <c r="F17" t="str">
        <f t="shared" si="0"/>
        <v>RESTORE DATABASE [22689051] FROM DISK='E:\232_AIS_CK\DataMau.mbk'  WITH MOVE 'MISASME2015' TO 'E:\232_AIS_CK\DHKTKT18A\22689051.mdf', MOVE 'MISASME2015_log' TO 'E:\232_AIS_CK\DHKTKT18A\22689051.ldf';</v>
      </c>
      <c r="G17" t="str">
        <f t="shared" si="1"/>
        <v>use [22689051];   update MSC_User set UserName='22689051',FullName=N'Nguyễn Thị Hoa',FirstName=N'Hoa',LastName=N'Nguyễn Thị' where UserName='SV'</v>
      </c>
      <c r="H17" t="str">
        <f t="shared" si="2"/>
        <v>ALTER DATABASE [22689051] SET OFFLINE WITH ROLLBACK IMMEDIATE</v>
      </c>
      <c r="I17" t="str">
        <f t="shared" si="3"/>
        <v>ALTER DATABASE [22689051] SET ONLINE</v>
      </c>
      <c r="J17" t="str">
        <f t="shared" si="4"/>
        <v>insert into [SVLogin].dbo.DuLieu select UserName, FirstName, LastName from [22689051].dbo.MSC_User where UserName &lt;&gt; '0983125672' and MISAID is not null</v>
      </c>
      <c r="K17" t="str">
        <f t="shared" si="5"/>
        <v>EXEC sp_detach_db '22689051', 'true';</v>
      </c>
      <c r="L17" t="str">
        <f t="shared" si="6"/>
        <v>DROP DATABASE [22689051]</v>
      </c>
    </row>
    <row r="18" spans="1:12" x14ac:dyDescent="0.25">
      <c r="A18">
        <v>17</v>
      </c>
      <c r="B18" s="51" t="s">
        <v>267</v>
      </c>
      <c r="C18" t="s">
        <v>268</v>
      </c>
      <c r="D18" t="s">
        <v>269</v>
      </c>
      <c r="E18" t="s">
        <v>389</v>
      </c>
      <c r="F18" t="str">
        <f t="shared" si="0"/>
        <v>RESTORE DATABASE [20033191] FROM DISK='E:\232_AIS_CK\DataMau.mbk'  WITH MOVE 'MISASME2015' TO 'E:\232_AIS_CK\DHKTKT18A\20033191.mdf', MOVE 'MISASME2015_log' TO 'E:\232_AIS_CK\DHKTKT18A\20033191.ldf';</v>
      </c>
      <c r="G18" t="str">
        <f t="shared" si="1"/>
        <v>use [20033191];   update MSC_User set UserName='20033191',FullName=N'Nguyễn Khánh Hòa',FirstName=N'Hòa',LastName=N'Nguyễn Khánh' where UserName='SV'</v>
      </c>
      <c r="H18" t="str">
        <f t="shared" si="2"/>
        <v>ALTER DATABASE [20033191] SET OFFLINE WITH ROLLBACK IMMEDIATE</v>
      </c>
      <c r="I18" t="str">
        <f t="shared" si="3"/>
        <v>ALTER DATABASE [20033191] SET ONLINE</v>
      </c>
      <c r="J18" t="str">
        <f t="shared" si="4"/>
        <v>insert into [SVLogin].dbo.DuLieu select UserName, FirstName, LastName from [20033191].dbo.MSC_User where UserName &lt;&gt; '0983125672' and MISAID is not null</v>
      </c>
      <c r="K18" t="str">
        <f t="shared" si="5"/>
        <v>EXEC sp_detach_db '20033191', 'true';</v>
      </c>
      <c r="L18" t="str">
        <f t="shared" si="6"/>
        <v>DROP DATABASE [20033191]</v>
      </c>
    </row>
    <row r="19" spans="1:12" x14ac:dyDescent="0.25">
      <c r="A19">
        <v>18</v>
      </c>
      <c r="B19" s="51" t="s">
        <v>270</v>
      </c>
      <c r="C19" t="s">
        <v>271</v>
      </c>
      <c r="D19" t="s">
        <v>160</v>
      </c>
      <c r="E19" t="s">
        <v>389</v>
      </c>
      <c r="F19" t="str">
        <f t="shared" si="0"/>
        <v>RESTORE DATABASE [20001625] FROM DISK='E:\232_AIS_CK\DataMau.mbk'  WITH MOVE 'MISASME2015' TO 'E:\232_AIS_CK\DHKTKT18A\20001625.mdf', MOVE 'MISASME2015_log' TO 'E:\232_AIS_CK\DHKTKT18A\20001625.ldf';</v>
      </c>
      <c r="G19" t="str">
        <f t="shared" si="1"/>
        <v>use [20001625];   update MSC_User set UserName='20001625',FullName=N'Lê Thị Mai Hương',FirstName=N'Hương',LastName=N'Lê Thị Mai' where UserName='SV'</v>
      </c>
      <c r="H19" t="str">
        <f t="shared" si="2"/>
        <v>ALTER DATABASE [20001625] SET OFFLINE WITH ROLLBACK IMMEDIATE</v>
      </c>
      <c r="I19" t="str">
        <f t="shared" si="3"/>
        <v>ALTER DATABASE [20001625] SET ONLINE</v>
      </c>
      <c r="J19" t="str">
        <f t="shared" si="4"/>
        <v>insert into [SVLogin].dbo.DuLieu select UserName, FirstName, LastName from [20001625].dbo.MSC_User where UserName &lt;&gt; '0983125672' and MISAID is not null</v>
      </c>
      <c r="K19" t="str">
        <f t="shared" si="5"/>
        <v>EXEC sp_detach_db '20001625', 'true';</v>
      </c>
      <c r="L19" t="str">
        <f t="shared" si="6"/>
        <v>DROP DATABASE [20001625]</v>
      </c>
    </row>
    <row r="20" spans="1:12" x14ac:dyDescent="0.25">
      <c r="A20">
        <v>19</v>
      </c>
      <c r="B20" s="51" t="s">
        <v>272</v>
      </c>
      <c r="C20" t="s">
        <v>273</v>
      </c>
      <c r="D20" t="s">
        <v>176</v>
      </c>
      <c r="E20" t="s">
        <v>389</v>
      </c>
      <c r="F20" t="str">
        <f t="shared" si="0"/>
        <v>RESTORE DATABASE [20074081] FROM DISK='E:\232_AIS_CK\DataMau.mbk'  WITH MOVE 'MISASME2015' TO 'E:\232_AIS_CK\DHKTKT18A\20074081.mdf', MOVE 'MISASME2015_log' TO 'E:\232_AIS_CK\DHKTKT18A\20074081.ldf';</v>
      </c>
      <c r="G20" t="str">
        <f t="shared" si="1"/>
        <v>use [20074081];   update MSC_User set UserName='20074081',FullName=N'Vũ Hòa Huyền',FirstName=N'Huyền',LastName=N'Vũ Hòa' where UserName='SV'</v>
      </c>
      <c r="H20" t="str">
        <f t="shared" si="2"/>
        <v>ALTER DATABASE [20074081] SET OFFLINE WITH ROLLBACK IMMEDIATE</v>
      </c>
      <c r="I20" t="str">
        <f t="shared" si="3"/>
        <v>ALTER DATABASE [20074081] SET ONLINE</v>
      </c>
      <c r="J20" t="str">
        <f t="shared" si="4"/>
        <v>insert into [SVLogin].dbo.DuLieu select UserName, FirstName, LastName from [20074081].dbo.MSC_User where UserName &lt;&gt; '0983125672' and MISAID is not null</v>
      </c>
      <c r="K20" t="str">
        <f t="shared" si="5"/>
        <v>EXEC sp_detach_db '20074081', 'true';</v>
      </c>
      <c r="L20" t="str">
        <f t="shared" si="6"/>
        <v>DROP DATABASE [20074081]</v>
      </c>
    </row>
    <row r="21" spans="1:12" x14ac:dyDescent="0.25">
      <c r="A21">
        <v>20</v>
      </c>
      <c r="B21" s="51" t="s">
        <v>274</v>
      </c>
      <c r="C21" t="s">
        <v>275</v>
      </c>
      <c r="D21" t="s">
        <v>276</v>
      </c>
      <c r="E21" t="s">
        <v>389</v>
      </c>
      <c r="F21" t="str">
        <f t="shared" si="0"/>
        <v>RESTORE DATABASE [22685171] FROM DISK='E:\232_AIS_CK\DataMau.mbk'  WITH MOVE 'MISASME2015' TO 'E:\232_AIS_CK\DHKTKT18A\22685171.mdf', MOVE 'MISASME2015_log' TO 'E:\232_AIS_CK\DHKTKT18A\22685171.ldf';</v>
      </c>
      <c r="G21" t="str">
        <f t="shared" si="1"/>
        <v>use [22685171];   update MSC_User set UserName='22685171',FullName=N'Phạm Đăng Khoa',FirstName=N'Khoa',LastName=N'Phạm Đăng' where UserName='SV'</v>
      </c>
      <c r="H21" t="str">
        <f t="shared" si="2"/>
        <v>ALTER DATABASE [22685171] SET OFFLINE WITH ROLLBACK IMMEDIATE</v>
      </c>
      <c r="I21" t="str">
        <f t="shared" si="3"/>
        <v>ALTER DATABASE [22685171] SET ONLINE</v>
      </c>
      <c r="J21" t="str">
        <f t="shared" si="4"/>
        <v>insert into [SVLogin].dbo.DuLieu select UserName, FirstName, LastName from [22685171].dbo.MSC_User where UserName &lt;&gt; '0983125672' and MISAID is not null</v>
      </c>
      <c r="K21" t="str">
        <f t="shared" si="5"/>
        <v>EXEC sp_detach_db '22685171', 'true';</v>
      </c>
      <c r="L21" t="str">
        <f t="shared" si="6"/>
        <v>DROP DATABASE [22685171]</v>
      </c>
    </row>
    <row r="22" spans="1:12" x14ac:dyDescent="0.25">
      <c r="A22">
        <v>21</v>
      </c>
      <c r="B22" s="51" t="s">
        <v>277</v>
      </c>
      <c r="C22" t="s">
        <v>278</v>
      </c>
      <c r="D22" t="s">
        <v>279</v>
      </c>
      <c r="E22" t="s">
        <v>389</v>
      </c>
      <c r="F22" t="str">
        <f t="shared" si="0"/>
        <v>RESTORE DATABASE [22692761] FROM DISK='E:\232_AIS_CK\DataMau.mbk'  WITH MOVE 'MISASME2015' TO 'E:\232_AIS_CK\DHKTKT18A\22692761.mdf', MOVE 'MISASME2015_log' TO 'E:\232_AIS_CK\DHKTKT18A\22692761.ldf';</v>
      </c>
      <c r="G22" t="str">
        <f t="shared" si="1"/>
        <v>use [22692761];   update MSC_User set UserName='22692761',FullName=N'Ngô Gia Khương',FirstName=N'Khương',LastName=N'Ngô Gia' where UserName='SV'</v>
      </c>
      <c r="H22" t="str">
        <f t="shared" si="2"/>
        <v>ALTER DATABASE [22692761] SET OFFLINE WITH ROLLBACK IMMEDIATE</v>
      </c>
      <c r="I22" t="str">
        <f t="shared" si="3"/>
        <v>ALTER DATABASE [22692761] SET ONLINE</v>
      </c>
      <c r="J22" t="str">
        <f t="shared" si="4"/>
        <v>insert into [SVLogin].dbo.DuLieu select UserName, FirstName, LastName from [22692761].dbo.MSC_User where UserName &lt;&gt; '0983125672' and MISAID is not null</v>
      </c>
      <c r="K22" t="str">
        <f t="shared" si="5"/>
        <v>EXEC sp_detach_db '22692761', 'true';</v>
      </c>
      <c r="L22" t="str">
        <f t="shared" si="6"/>
        <v>DROP DATABASE [22692761]</v>
      </c>
    </row>
    <row r="23" spans="1:12" x14ac:dyDescent="0.25">
      <c r="A23">
        <v>22</v>
      </c>
      <c r="B23" s="51" t="s">
        <v>280</v>
      </c>
      <c r="C23" t="s">
        <v>281</v>
      </c>
      <c r="D23" t="s">
        <v>162</v>
      </c>
      <c r="E23" t="s">
        <v>389</v>
      </c>
      <c r="F23" t="str">
        <f t="shared" si="0"/>
        <v>RESTORE DATABASE [22666291] FROM DISK='E:\232_AIS_CK\DataMau.mbk'  WITH MOVE 'MISASME2015' TO 'E:\232_AIS_CK\DHKTKT18A\22666291.mdf', MOVE 'MISASME2015_log' TO 'E:\232_AIS_CK\DHKTKT18A\22666291.ldf';</v>
      </c>
      <c r="G23" t="str">
        <f t="shared" si="1"/>
        <v>use [22666291];   update MSC_User set UserName='22666291',FullName=N'Lê Bùi Diệu Linh',FirstName=N'Linh',LastName=N'Lê Bùi Diệu' where UserName='SV'</v>
      </c>
      <c r="H23" t="str">
        <f t="shared" si="2"/>
        <v>ALTER DATABASE [22666291] SET OFFLINE WITH ROLLBACK IMMEDIATE</v>
      </c>
      <c r="I23" t="str">
        <f t="shared" si="3"/>
        <v>ALTER DATABASE [22666291] SET ONLINE</v>
      </c>
      <c r="J23" t="str">
        <f t="shared" si="4"/>
        <v>insert into [SVLogin].dbo.DuLieu select UserName, FirstName, LastName from [22666291].dbo.MSC_User where UserName &lt;&gt; '0983125672' and MISAID is not null</v>
      </c>
      <c r="K23" t="str">
        <f t="shared" si="5"/>
        <v>EXEC sp_detach_db '22666291', 'true';</v>
      </c>
      <c r="L23" t="str">
        <f t="shared" si="6"/>
        <v>DROP DATABASE [22666291]</v>
      </c>
    </row>
    <row r="24" spans="1:12" x14ac:dyDescent="0.25">
      <c r="A24">
        <v>23</v>
      </c>
      <c r="B24" s="51" t="s">
        <v>282</v>
      </c>
      <c r="C24" t="s">
        <v>268</v>
      </c>
      <c r="D24" t="s">
        <v>162</v>
      </c>
      <c r="E24" t="s">
        <v>389</v>
      </c>
      <c r="F24" t="str">
        <f t="shared" si="0"/>
        <v>RESTORE DATABASE [22632061] FROM DISK='E:\232_AIS_CK\DataMau.mbk'  WITH MOVE 'MISASME2015' TO 'E:\232_AIS_CK\DHKTKT18A\22632061.mdf', MOVE 'MISASME2015_log' TO 'E:\232_AIS_CK\DHKTKT18A\22632061.ldf';</v>
      </c>
      <c r="G24" t="str">
        <f t="shared" si="1"/>
        <v>use [22632061];   update MSC_User set UserName='22632061',FullName=N'Nguyễn Khánh Linh',FirstName=N'Linh',LastName=N'Nguyễn Khánh' where UserName='SV'</v>
      </c>
      <c r="H24" t="str">
        <f t="shared" si="2"/>
        <v>ALTER DATABASE [22632061] SET OFFLINE WITH ROLLBACK IMMEDIATE</v>
      </c>
      <c r="I24" t="str">
        <f t="shared" si="3"/>
        <v>ALTER DATABASE [22632061] SET ONLINE</v>
      </c>
      <c r="J24" t="str">
        <f t="shared" si="4"/>
        <v>insert into [SVLogin].dbo.DuLieu select UserName, FirstName, LastName from [22632061].dbo.MSC_User where UserName &lt;&gt; '0983125672' and MISAID is not null</v>
      </c>
      <c r="K24" t="str">
        <f t="shared" si="5"/>
        <v>EXEC sp_detach_db '22632061', 'true';</v>
      </c>
      <c r="L24" t="str">
        <f t="shared" si="6"/>
        <v>DROP DATABASE [22632061]</v>
      </c>
    </row>
    <row r="25" spans="1:12" x14ac:dyDescent="0.25">
      <c r="A25">
        <v>24</v>
      </c>
      <c r="B25" s="51" t="s">
        <v>283</v>
      </c>
      <c r="C25" t="s">
        <v>284</v>
      </c>
      <c r="D25" t="s">
        <v>177</v>
      </c>
      <c r="E25" t="s">
        <v>389</v>
      </c>
      <c r="F25" t="str">
        <f t="shared" si="0"/>
        <v>RESTORE DATABASE [22639801] FROM DISK='E:\232_AIS_CK\DataMau.mbk'  WITH MOVE 'MISASME2015' TO 'E:\232_AIS_CK\DHKTKT18A\22639801.mdf', MOVE 'MISASME2015_log' TO 'E:\232_AIS_CK\DHKTKT18A\22639801.ldf';</v>
      </c>
      <c r="G25" t="str">
        <f t="shared" si="1"/>
        <v>use [22639801];   update MSC_User set UserName='22639801',FullName=N'Hồ Thị Cẩm Ly',FirstName=N'Ly',LastName=N'Hồ Thị Cẩm' where UserName='SV'</v>
      </c>
      <c r="H25" t="str">
        <f t="shared" si="2"/>
        <v>ALTER DATABASE [22639801] SET OFFLINE WITH ROLLBACK IMMEDIATE</v>
      </c>
      <c r="I25" t="str">
        <f t="shared" si="3"/>
        <v>ALTER DATABASE [22639801] SET ONLINE</v>
      </c>
      <c r="J25" t="str">
        <f t="shared" si="4"/>
        <v>insert into [SVLogin].dbo.DuLieu select UserName, FirstName, LastName from [22639801].dbo.MSC_User where UserName &lt;&gt; '0983125672' and MISAID is not null</v>
      </c>
      <c r="K25" t="str">
        <f t="shared" si="5"/>
        <v>EXEC sp_detach_db '22639801', 'true';</v>
      </c>
      <c r="L25" t="str">
        <f t="shared" si="6"/>
        <v>DROP DATABASE [22639801]</v>
      </c>
    </row>
    <row r="26" spans="1:12" x14ac:dyDescent="0.25">
      <c r="A26">
        <v>25</v>
      </c>
      <c r="B26" s="51" t="s">
        <v>285</v>
      </c>
      <c r="C26" t="s">
        <v>286</v>
      </c>
      <c r="D26" t="s">
        <v>287</v>
      </c>
      <c r="E26" t="s">
        <v>389</v>
      </c>
      <c r="F26" t="str">
        <f t="shared" si="0"/>
        <v>RESTORE DATABASE [21076821] FROM DISK='E:\232_AIS_CK\DataMau.mbk'  WITH MOVE 'MISASME2015' TO 'E:\232_AIS_CK\DHKTKT18A\21076821.mdf', MOVE 'MISASME2015_log' TO 'E:\232_AIS_CK\DHKTKT18A\21076821.ldf';</v>
      </c>
      <c r="G26" t="str">
        <f t="shared" si="1"/>
        <v>use [21076821];   update MSC_User set UserName='21076821',FullName=N'Võ Thị Phương Mai',FirstName=N'Mai',LastName=N'Võ Thị Phương' where UserName='SV'</v>
      </c>
      <c r="H26" t="str">
        <f t="shared" si="2"/>
        <v>ALTER DATABASE [21076821] SET OFFLINE WITH ROLLBACK IMMEDIATE</v>
      </c>
      <c r="I26" t="str">
        <f t="shared" si="3"/>
        <v>ALTER DATABASE [21076821] SET ONLINE</v>
      </c>
      <c r="J26" t="str">
        <f t="shared" si="4"/>
        <v>insert into [SVLogin].dbo.DuLieu select UserName, FirstName, LastName from [21076821].dbo.MSC_User where UserName &lt;&gt; '0983125672' and MISAID is not null</v>
      </c>
      <c r="K26" t="str">
        <f t="shared" si="5"/>
        <v>EXEC sp_detach_db '21076821', 'true';</v>
      </c>
      <c r="L26" t="str">
        <f t="shared" si="6"/>
        <v>DROP DATABASE [21076821]</v>
      </c>
    </row>
    <row r="27" spans="1:12" x14ac:dyDescent="0.25">
      <c r="A27">
        <v>26</v>
      </c>
      <c r="B27" s="51" t="s">
        <v>288</v>
      </c>
      <c r="C27" t="s">
        <v>289</v>
      </c>
      <c r="D27" t="s">
        <v>290</v>
      </c>
      <c r="E27" t="s">
        <v>389</v>
      </c>
      <c r="F27" t="str">
        <f t="shared" si="0"/>
        <v>RESTORE DATABASE [22643921] FROM DISK='E:\232_AIS_CK\DataMau.mbk'  WITH MOVE 'MISASME2015' TO 'E:\232_AIS_CK\DHKTKT18A\22643921.mdf', MOVE 'MISASME2015_log' TO 'E:\232_AIS_CK\DHKTKT18A\22643921.ldf';</v>
      </c>
      <c r="G27" t="str">
        <f t="shared" si="1"/>
        <v>use [22643921];   update MSC_User set UserName='22643921',FullName=N'Phan Thị Diễm Mi',FirstName=N'Mi',LastName=N'Phan Thị Diễm' where UserName='SV'</v>
      </c>
      <c r="H27" t="str">
        <f t="shared" si="2"/>
        <v>ALTER DATABASE [22643921] SET OFFLINE WITH ROLLBACK IMMEDIATE</v>
      </c>
      <c r="I27" t="str">
        <f t="shared" si="3"/>
        <v>ALTER DATABASE [22643921] SET ONLINE</v>
      </c>
      <c r="J27" t="str">
        <f t="shared" si="4"/>
        <v>insert into [SVLogin].dbo.DuLieu select UserName, FirstName, LastName from [22643921].dbo.MSC_User where UserName &lt;&gt; '0983125672' and MISAID is not null</v>
      </c>
      <c r="K27" t="str">
        <f t="shared" si="5"/>
        <v>EXEC sp_detach_db '22643921', 'true';</v>
      </c>
      <c r="L27" t="str">
        <f t="shared" si="6"/>
        <v>DROP DATABASE [22643921]</v>
      </c>
    </row>
    <row r="28" spans="1:12" x14ac:dyDescent="0.25">
      <c r="A28">
        <v>27</v>
      </c>
      <c r="B28" s="51" t="s">
        <v>291</v>
      </c>
      <c r="C28" t="s">
        <v>292</v>
      </c>
      <c r="D28" t="s">
        <v>293</v>
      </c>
      <c r="E28" t="s">
        <v>389</v>
      </c>
      <c r="F28" t="str">
        <f t="shared" si="0"/>
        <v>RESTORE DATABASE [22643581] FROM DISK='E:\232_AIS_CK\DataMau.mbk'  WITH MOVE 'MISASME2015' TO 'E:\232_AIS_CK\DHKTKT18A\22643581.mdf', MOVE 'MISASME2015_log' TO 'E:\232_AIS_CK\DHKTKT18A\22643581.ldf';</v>
      </c>
      <c r="G28" t="str">
        <f t="shared" si="1"/>
        <v>use [22643581];   update MSC_User set UserName='22643581',FullName=N'Nguyễn Hồ Kiều My',FirstName=N'My',LastName=N'Nguyễn Hồ Kiều' where UserName='SV'</v>
      </c>
      <c r="H28" t="str">
        <f t="shared" si="2"/>
        <v>ALTER DATABASE [22643581] SET OFFLINE WITH ROLLBACK IMMEDIATE</v>
      </c>
      <c r="I28" t="str">
        <f t="shared" si="3"/>
        <v>ALTER DATABASE [22643581] SET ONLINE</v>
      </c>
      <c r="J28" t="str">
        <f t="shared" si="4"/>
        <v>insert into [SVLogin].dbo.DuLieu select UserName, FirstName, LastName from [22643581].dbo.MSC_User where UserName &lt;&gt; '0983125672' and MISAID is not null</v>
      </c>
      <c r="K28" t="str">
        <f t="shared" si="5"/>
        <v>EXEC sp_detach_db '22643581', 'true';</v>
      </c>
      <c r="L28" t="str">
        <f t="shared" si="6"/>
        <v>DROP DATABASE [22643581]</v>
      </c>
    </row>
    <row r="29" spans="1:12" x14ac:dyDescent="0.25">
      <c r="A29">
        <v>28</v>
      </c>
      <c r="B29" s="51" t="s">
        <v>294</v>
      </c>
      <c r="C29" t="s">
        <v>295</v>
      </c>
      <c r="D29" t="s">
        <v>163</v>
      </c>
      <c r="E29" t="s">
        <v>389</v>
      </c>
      <c r="F29" t="str">
        <f t="shared" si="0"/>
        <v>RESTORE DATABASE [20060711] FROM DISK='E:\232_AIS_CK\DataMau.mbk'  WITH MOVE 'MISASME2015' TO 'E:\232_AIS_CK\DHKTKT18A\20060711.mdf', MOVE 'MISASME2015_log' TO 'E:\232_AIS_CK\DHKTKT18A\20060711.ldf';</v>
      </c>
      <c r="G29" t="str">
        <f t="shared" si="1"/>
        <v>use [20060711];   update MSC_User set UserName='20060711',FullName=N'Đặng Kim Ngân',FirstName=N'Ngân',LastName=N'Đặng Kim' where UserName='SV'</v>
      </c>
      <c r="H29" t="str">
        <f t="shared" si="2"/>
        <v>ALTER DATABASE [20060711] SET OFFLINE WITH ROLLBACK IMMEDIATE</v>
      </c>
      <c r="I29" t="str">
        <f t="shared" si="3"/>
        <v>ALTER DATABASE [20060711] SET ONLINE</v>
      </c>
      <c r="J29" t="str">
        <f t="shared" si="4"/>
        <v>insert into [SVLogin].dbo.DuLieu select UserName, FirstName, LastName from [20060711].dbo.MSC_User where UserName &lt;&gt; '0983125672' and MISAID is not null</v>
      </c>
      <c r="K29" t="str">
        <f t="shared" si="5"/>
        <v>EXEC sp_detach_db '20060711', 'true';</v>
      </c>
      <c r="L29" t="str">
        <f t="shared" si="6"/>
        <v>DROP DATABASE [20060711]</v>
      </c>
    </row>
    <row r="30" spans="1:12" x14ac:dyDescent="0.25">
      <c r="A30">
        <v>29</v>
      </c>
      <c r="B30" s="51" t="s">
        <v>296</v>
      </c>
      <c r="C30" t="s">
        <v>297</v>
      </c>
      <c r="D30" t="s">
        <v>163</v>
      </c>
      <c r="E30" t="s">
        <v>389</v>
      </c>
      <c r="F30" t="str">
        <f t="shared" si="0"/>
        <v>RESTORE DATABASE [22636541] FROM DISK='E:\232_AIS_CK\DataMau.mbk'  WITH MOVE 'MISASME2015' TO 'E:\232_AIS_CK\DHKTKT18A\22636541.mdf', MOVE 'MISASME2015_log' TO 'E:\232_AIS_CK\DHKTKT18A\22636541.ldf';</v>
      </c>
      <c r="G30" t="str">
        <f t="shared" si="1"/>
        <v>use [22636541];   update MSC_User set UserName='22636541',FullName=N'Đỗ Kim Ngân',FirstName=N'Ngân',LastName=N'Đỗ Kim' where UserName='SV'</v>
      </c>
      <c r="H30" t="str">
        <f t="shared" si="2"/>
        <v>ALTER DATABASE [22636541] SET OFFLINE WITH ROLLBACK IMMEDIATE</v>
      </c>
      <c r="I30" t="str">
        <f t="shared" si="3"/>
        <v>ALTER DATABASE [22636541] SET ONLINE</v>
      </c>
      <c r="J30" t="str">
        <f t="shared" si="4"/>
        <v>insert into [SVLogin].dbo.DuLieu select UserName, FirstName, LastName from [22636541].dbo.MSC_User where UserName &lt;&gt; '0983125672' and MISAID is not null</v>
      </c>
      <c r="K30" t="str">
        <f t="shared" si="5"/>
        <v>EXEC sp_detach_db '22636541', 'true';</v>
      </c>
      <c r="L30" t="str">
        <f t="shared" si="6"/>
        <v>DROP DATABASE [22636541]</v>
      </c>
    </row>
    <row r="31" spans="1:12" x14ac:dyDescent="0.25">
      <c r="A31">
        <v>30</v>
      </c>
      <c r="B31" s="51" t="s">
        <v>298</v>
      </c>
      <c r="C31" t="s">
        <v>299</v>
      </c>
      <c r="D31" t="s">
        <v>163</v>
      </c>
      <c r="E31" t="s">
        <v>389</v>
      </c>
      <c r="F31" t="str">
        <f t="shared" si="0"/>
        <v>RESTORE DATABASE [22632851] FROM DISK='E:\232_AIS_CK\DataMau.mbk'  WITH MOVE 'MISASME2015' TO 'E:\232_AIS_CK\DHKTKT18A\22632851.mdf', MOVE 'MISASME2015_log' TO 'E:\232_AIS_CK\DHKTKT18A\22632851.ldf';</v>
      </c>
      <c r="G31" t="str">
        <f t="shared" si="1"/>
        <v>use [22632851];   update MSC_User set UserName='22632851',FullName=N'Lê Thị Thanh Ngân',FirstName=N'Ngân',LastName=N'Lê Thị Thanh' where UserName='SV'</v>
      </c>
      <c r="H31" t="str">
        <f t="shared" si="2"/>
        <v>ALTER DATABASE [22632851] SET OFFLINE WITH ROLLBACK IMMEDIATE</v>
      </c>
      <c r="I31" t="str">
        <f t="shared" si="3"/>
        <v>ALTER DATABASE [22632851] SET ONLINE</v>
      </c>
      <c r="J31" t="str">
        <f t="shared" si="4"/>
        <v>insert into [SVLogin].dbo.DuLieu select UserName, FirstName, LastName from [22632851].dbo.MSC_User where UserName &lt;&gt; '0983125672' and MISAID is not null</v>
      </c>
      <c r="K31" t="str">
        <f t="shared" si="5"/>
        <v>EXEC sp_detach_db '22632851', 'true';</v>
      </c>
      <c r="L31" t="str">
        <f t="shared" si="6"/>
        <v>DROP DATABASE [22632851]</v>
      </c>
    </row>
    <row r="32" spans="1:12" x14ac:dyDescent="0.25">
      <c r="A32">
        <v>31</v>
      </c>
      <c r="B32" s="51" t="s">
        <v>300</v>
      </c>
      <c r="C32" t="s">
        <v>301</v>
      </c>
      <c r="D32" t="s">
        <v>163</v>
      </c>
      <c r="E32" t="s">
        <v>389</v>
      </c>
      <c r="F32" t="str">
        <f t="shared" si="0"/>
        <v>RESTORE DATABASE [22676061] FROM DISK='E:\232_AIS_CK\DataMau.mbk'  WITH MOVE 'MISASME2015' TO 'E:\232_AIS_CK\DHKTKT18A\22676061.mdf', MOVE 'MISASME2015_log' TO 'E:\232_AIS_CK\DHKTKT18A\22676061.ldf';</v>
      </c>
      <c r="G32" t="str">
        <f t="shared" si="1"/>
        <v>use [22676061];   update MSC_User set UserName='22676061',FullName=N'Nguyễn Thanh Ngân',FirstName=N'Ngân',LastName=N'Nguyễn Thanh' where UserName='SV'</v>
      </c>
      <c r="H32" t="str">
        <f t="shared" si="2"/>
        <v>ALTER DATABASE [22676061] SET OFFLINE WITH ROLLBACK IMMEDIATE</v>
      </c>
      <c r="I32" t="str">
        <f t="shared" si="3"/>
        <v>ALTER DATABASE [22676061] SET ONLINE</v>
      </c>
      <c r="J32" t="str">
        <f t="shared" si="4"/>
        <v>insert into [SVLogin].dbo.DuLieu select UserName, FirstName, LastName from [22676061].dbo.MSC_User where UserName &lt;&gt; '0983125672' and MISAID is not null</v>
      </c>
      <c r="K32" t="str">
        <f t="shared" si="5"/>
        <v>EXEC sp_detach_db '22676061', 'true';</v>
      </c>
      <c r="L32" t="str">
        <f t="shared" si="6"/>
        <v>DROP DATABASE [22676061]</v>
      </c>
    </row>
    <row r="33" spans="1:12" x14ac:dyDescent="0.25">
      <c r="A33">
        <v>32</v>
      </c>
      <c r="B33" s="51" t="s">
        <v>302</v>
      </c>
      <c r="C33" t="s">
        <v>303</v>
      </c>
      <c r="D33" t="s">
        <v>163</v>
      </c>
      <c r="E33" t="s">
        <v>389</v>
      </c>
      <c r="F33" t="str">
        <f t="shared" si="0"/>
        <v>RESTORE DATABASE [22706301] FROM DISK='E:\232_AIS_CK\DataMau.mbk'  WITH MOVE 'MISASME2015' TO 'E:\232_AIS_CK\DHKTKT18A\22706301.mdf', MOVE 'MISASME2015_log' TO 'E:\232_AIS_CK\DHKTKT18A\22706301.ldf';</v>
      </c>
      <c r="G33" t="str">
        <f t="shared" si="1"/>
        <v>use [22706301];   update MSC_User set UserName='22706301',FullName=N'Trần Huỳnh Ái Ngân',FirstName=N'Ngân',LastName=N'Trần Huỳnh Ái' where UserName='SV'</v>
      </c>
      <c r="H33" t="str">
        <f t="shared" si="2"/>
        <v>ALTER DATABASE [22706301] SET OFFLINE WITH ROLLBACK IMMEDIATE</v>
      </c>
      <c r="I33" t="str">
        <f t="shared" si="3"/>
        <v>ALTER DATABASE [22706301] SET ONLINE</v>
      </c>
      <c r="J33" t="str">
        <f t="shared" si="4"/>
        <v>insert into [SVLogin].dbo.DuLieu select UserName, FirstName, LastName from [22706301].dbo.MSC_User where UserName &lt;&gt; '0983125672' and MISAID is not null</v>
      </c>
      <c r="K33" t="str">
        <f t="shared" si="5"/>
        <v>EXEC sp_detach_db '22706301', 'true';</v>
      </c>
      <c r="L33" t="str">
        <f t="shared" si="6"/>
        <v>DROP DATABASE [22706301]</v>
      </c>
    </row>
    <row r="34" spans="1:12" x14ac:dyDescent="0.25">
      <c r="A34">
        <v>33</v>
      </c>
      <c r="B34" s="51" t="s">
        <v>304</v>
      </c>
      <c r="C34" t="s">
        <v>305</v>
      </c>
      <c r="D34" t="s">
        <v>306</v>
      </c>
      <c r="E34" t="s">
        <v>389</v>
      </c>
      <c r="F34" t="str">
        <f t="shared" si="0"/>
        <v>RESTORE DATABASE [22633481] FROM DISK='E:\232_AIS_CK\DataMau.mbk'  WITH MOVE 'MISASME2015' TO 'E:\232_AIS_CK\DHKTKT18A\22633481.mdf', MOVE 'MISASME2015_log' TO 'E:\232_AIS_CK\DHKTKT18A\22633481.ldf';</v>
      </c>
      <c r="G34" t="str">
        <f t="shared" si="1"/>
        <v>use [22633481];   update MSC_User set UserName='22633481',FullName=N'Trần Huỳnh Bảo Nghi',FirstName=N'Nghi',LastName=N'Trần Huỳnh Bảo' where UserName='SV'</v>
      </c>
      <c r="H34" t="str">
        <f t="shared" si="2"/>
        <v>ALTER DATABASE [22633481] SET OFFLINE WITH ROLLBACK IMMEDIATE</v>
      </c>
      <c r="I34" t="str">
        <f t="shared" si="3"/>
        <v>ALTER DATABASE [22633481] SET ONLINE</v>
      </c>
      <c r="J34" t="str">
        <f t="shared" si="4"/>
        <v>insert into [SVLogin].dbo.DuLieu select UserName, FirstName, LastName from [22633481].dbo.MSC_User where UserName &lt;&gt; '0983125672' and MISAID is not null</v>
      </c>
      <c r="K34" t="str">
        <f t="shared" si="5"/>
        <v>EXEC sp_detach_db '22633481', 'true';</v>
      </c>
      <c r="L34" t="str">
        <f t="shared" si="6"/>
        <v>DROP DATABASE [22633481]</v>
      </c>
    </row>
    <row r="35" spans="1:12" x14ac:dyDescent="0.25">
      <c r="A35">
        <v>34</v>
      </c>
      <c r="B35" s="51" t="s">
        <v>307</v>
      </c>
      <c r="C35" t="s">
        <v>308</v>
      </c>
      <c r="D35" t="s">
        <v>309</v>
      </c>
      <c r="E35" t="s">
        <v>389</v>
      </c>
      <c r="F35" t="str">
        <f t="shared" si="0"/>
        <v>RESTORE DATABASE [22634661] FROM DISK='E:\232_AIS_CK\DataMau.mbk'  WITH MOVE 'MISASME2015' TO 'E:\232_AIS_CK\DHKTKT18A\22634661.mdf', MOVE 'MISASME2015_log' TO 'E:\232_AIS_CK\DHKTKT18A\22634661.ldf';</v>
      </c>
      <c r="G35" t="str">
        <f t="shared" si="1"/>
        <v>use [22634661];   update MSC_User set UserName='22634661',FullName=N'Nguyễn Cảnh Nguyệt',FirstName=N'Nguyệt',LastName=N'Nguyễn Cảnh' where UserName='SV'</v>
      </c>
      <c r="H35" t="str">
        <f t="shared" si="2"/>
        <v>ALTER DATABASE [22634661] SET OFFLINE WITH ROLLBACK IMMEDIATE</v>
      </c>
      <c r="I35" t="str">
        <f t="shared" si="3"/>
        <v>ALTER DATABASE [22634661] SET ONLINE</v>
      </c>
      <c r="J35" t="str">
        <f t="shared" si="4"/>
        <v>insert into [SVLogin].dbo.DuLieu select UserName, FirstName, LastName from [22634661].dbo.MSC_User where UserName &lt;&gt; '0983125672' and MISAID is not null</v>
      </c>
      <c r="K35" t="str">
        <f t="shared" si="5"/>
        <v>EXEC sp_detach_db '22634661', 'true';</v>
      </c>
      <c r="L35" t="str">
        <f t="shared" si="6"/>
        <v>DROP DATABASE [22634661]</v>
      </c>
    </row>
    <row r="36" spans="1:12" x14ac:dyDescent="0.25">
      <c r="A36">
        <v>35</v>
      </c>
      <c r="B36" s="51" t="s">
        <v>310</v>
      </c>
      <c r="C36" t="s">
        <v>168</v>
      </c>
      <c r="D36" t="s">
        <v>309</v>
      </c>
      <c r="E36" t="s">
        <v>389</v>
      </c>
      <c r="F36" t="str">
        <f t="shared" si="0"/>
        <v>RESTORE DATABASE [21041511] FROM DISK='E:\232_AIS_CK\DataMau.mbk'  WITH MOVE 'MISASME2015' TO 'E:\232_AIS_CK\DHKTKT18A\21041511.mdf', MOVE 'MISASME2015_log' TO 'E:\232_AIS_CK\DHKTKT18A\21041511.ldf';</v>
      </c>
      <c r="G36" t="str">
        <f t="shared" si="1"/>
        <v>use [21041511];   update MSC_User set UserName='21041511',FullName=N'Nguyễn Thị Thanh Nguyệt',FirstName=N'Nguyệt',LastName=N'Nguyễn Thị Thanh' where UserName='SV'</v>
      </c>
      <c r="H36" t="str">
        <f t="shared" si="2"/>
        <v>ALTER DATABASE [21041511] SET OFFLINE WITH ROLLBACK IMMEDIATE</v>
      </c>
      <c r="I36" t="str">
        <f t="shared" si="3"/>
        <v>ALTER DATABASE [21041511] SET ONLINE</v>
      </c>
      <c r="J36" t="str">
        <f t="shared" si="4"/>
        <v>insert into [SVLogin].dbo.DuLieu select UserName, FirstName, LastName from [21041511].dbo.MSC_User where UserName &lt;&gt; '0983125672' and MISAID is not null</v>
      </c>
      <c r="K36" t="str">
        <f t="shared" si="5"/>
        <v>EXEC sp_detach_db '21041511', 'true';</v>
      </c>
      <c r="L36" t="str">
        <f t="shared" si="6"/>
        <v>DROP DATABASE [21041511]</v>
      </c>
    </row>
    <row r="37" spans="1:12" x14ac:dyDescent="0.25">
      <c r="A37">
        <v>36</v>
      </c>
      <c r="B37" s="51" t="s">
        <v>311</v>
      </c>
      <c r="C37" t="s">
        <v>312</v>
      </c>
      <c r="D37" t="s">
        <v>164</v>
      </c>
      <c r="E37" t="s">
        <v>389</v>
      </c>
      <c r="F37" t="str">
        <f t="shared" si="0"/>
        <v>RESTORE DATABASE [22644891] FROM DISK='E:\232_AIS_CK\DataMau.mbk'  WITH MOVE 'MISASME2015' TO 'E:\232_AIS_CK\DHKTKT18A\22644891.mdf', MOVE 'MISASME2015_log' TO 'E:\232_AIS_CK\DHKTKT18A\22644891.ldf';</v>
      </c>
      <c r="G37" t="str">
        <f t="shared" si="1"/>
        <v>use [22644891];   update MSC_User set UserName='22644891',FullName=N'Châu Thị Bích Nhi',FirstName=N'Nhi',LastName=N'Châu Thị Bích' where UserName='SV'</v>
      </c>
      <c r="H37" t="str">
        <f t="shared" si="2"/>
        <v>ALTER DATABASE [22644891] SET OFFLINE WITH ROLLBACK IMMEDIATE</v>
      </c>
      <c r="I37" t="str">
        <f t="shared" si="3"/>
        <v>ALTER DATABASE [22644891] SET ONLINE</v>
      </c>
      <c r="J37" t="str">
        <f t="shared" si="4"/>
        <v>insert into [SVLogin].dbo.DuLieu select UserName, FirstName, LastName from [22644891].dbo.MSC_User where UserName &lt;&gt; '0983125672' and MISAID is not null</v>
      </c>
      <c r="K37" t="str">
        <f t="shared" si="5"/>
        <v>EXEC sp_detach_db '22644891', 'true';</v>
      </c>
      <c r="L37" t="str">
        <f t="shared" si="6"/>
        <v>DROP DATABASE [22644891]</v>
      </c>
    </row>
    <row r="38" spans="1:12" x14ac:dyDescent="0.25">
      <c r="A38">
        <v>37</v>
      </c>
      <c r="B38" s="51" t="s">
        <v>313</v>
      </c>
      <c r="C38" t="s">
        <v>314</v>
      </c>
      <c r="D38" t="s">
        <v>164</v>
      </c>
      <c r="E38" t="s">
        <v>389</v>
      </c>
      <c r="F38" t="str">
        <f t="shared" si="0"/>
        <v>RESTORE DATABASE [22647321] FROM DISK='E:\232_AIS_CK\DataMau.mbk'  WITH MOVE 'MISASME2015' TO 'E:\232_AIS_CK\DHKTKT18A\22647321.mdf', MOVE 'MISASME2015_log' TO 'E:\232_AIS_CK\DHKTKT18A\22647321.ldf';</v>
      </c>
      <c r="G38" t="str">
        <f t="shared" si="1"/>
        <v>use [22647321];   update MSC_User set UserName='22647321',FullName=N'Lại Thị Yến Nhi',FirstName=N'Nhi',LastName=N'Lại Thị Yến' where UserName='SV'</v>
      </c>
      <c r="H38" t="str">
        <f t="shared" si="2"/>
        <v>ALTER DATABASE [22647321] SET OFFLINE WITH ROLLBACK IMMEDIATE</v>
      </c>
      <c r="I38" t="str">
        <f t="shared" si="3"/>
        <v>ALTER DATABASE [22647321] SET ONLINE</v>
      </c>
      <c r="J38" t="str">
        <f t="shared" si="4"/>
        <v>insert into [SVLogin].dbo.DuLieu select UserName, FirstName, LastName from [22647321].dbo.MSC_User where UserName &lt;&gt; '0983125672' and MISAID is not null</v>
      </c>
      <c r="K38" t="str">
        <f t="shared" si="5"/>
        <v>EXEC sp_detach_db '22647321', 'true';</v>
      </c>
      <c r="L38" t="str">
        <f t="shared" si="6"/>
        <v>DROP DATABASE [22647321]</v>
      </c>
    </row>
    <row r="39" spans="1:12" x14ac:dyDescent="0.25">
      <c r="A39">
        <v>38</v>
      </c>
      <c r="B39" s="51" t="s">
        <v>315</v>
      </c>
      <c r="C39" t="s">
        <v>316</v>
      </c>
      <c r="D39" t="s">
        <v>164</v>
      </c>
      <c r="E39" t="s">
        <v>389</v>
      </c>
      <c r="F39" t="str">
        <f t="shared" si="0"/>
        <v>RESTORE DATABASE [20077611] FROM DISK='E:\232_AIS_CK\DataMau.mbk'  WITH MOVE 'MISASME2015' TO 'E:\232_AIS_CK\DHKTKT18A\20077611.mdf', MOVE 'MISASME2015_log' TO 'E:\232_AIS_CK\DHKTKT18A\20077611.ldf';</v>
      </c>
      <c r="G39" t="str">
        <f t="shared" si="1"/>
        <v>use [20077611];   update MSC_User set UserName='20077611',FullName=N'Nguyễn Hồ Yến Nhi',FirstName=N'Nhi',LastName=N'Nguyễn Hồ Yến' where UserName='SV'</v>
      </c>
      <c r="H39" t="str">
        <f t="shared" si="2"/>
        <v>ALTER DATABASE [20077611] SET OFFLINE WITH ROLLBACK IMMEDIATE</v>
      </c>
      <c r="I39" t="str">
        <f t="shared" si="3"/>
        <v>ALTER DATABASE [20077611] SET ONLINE</v>
      </c>
      <c r="J39" t="str">
        <f t="shared" si="4"/>
        <v>insert into [SVLogin].dbo.DuLieu select UserName, FirstName, LastName from [20077611].dbo.MSC_User where UserName &lt;&gt; '0983125672' and MISAID is not null</v>
      </c>
      <c r="K39" t="str">
        <f t="shared" si="5"/>
        <v>EXEC sp_detach_db '20077611', 'true';</v>
      </c>
      <c r="L39" t="str">
        <f t="shared" si="6"/>
        <v>DROP DATABASE [20077611]</v>
      </c>
    </row>
    <row r="40" spans="1:12" x14ac:dyDescent="0.25">
      <c r="A40">
        <v>39</v>
      </c>
      <c r="B40" s="51" t="s">
        <v>317</v>
      </c>
      <c r="C40" t="s">
        <v>318</v>
      </c>
      <c r="D40" t="s">
        <v>164</v>
      </c>
      <c r="E40" t="s">
        <v>389</v>
      </c>
      <c r="F40" t="str">
        <f t="shared" si="0"/>
        <v>RESTORE DATABASE [21083081] FROM DISK='E:\232_AIS_CK\DataMau.mbk'  WITH MOVE 'MISASME2015' TO 'E:\232_AIS_CK\DHKTKT18A\21083081.mdf', MOVE 'MISASME2015_log' TO 'E:\232_AIS_CK\DHKTKT18A\21083081.ldf';</v>
      </c>
      <c r="G40" t="str">
        <f t="shared" si="1"/>
        <v>use [21083081];   update MSC_User set UserName='21083081',FullName=N'Nguyễn Ngọc Yến Nhi',FirstName=N'Nhi',LastName=N'Nguyễn Ngọc Yến' where UserName='SV'</v>
      </c>
      <c r="H40" t="str">
        <f t="shared" si="2"/>
        <v>ALTER DATABASE [21083081] SET OFFLINE WITH ROLLBACK IMMEDIATE</v>
      </c>
      <c r="I40" t="str">
        <f t="shared" si="3"/>
        <v>ALTER DATABASE [21083081] SET ONLINE</v>
      </c>
      <c r="J40" t="str">
        <f t="shared" si="4"/>
        <v>insert into [SVLogin].dbo.DuLieu select UserName, FirstName, LastName from [21083081].dbo.MSC_User where UserName &lt;&gt; '0983125672' and MISAID is not null</v>
      </c>
      <c r="K40" t="str">
        <f t="shared" si="5"/>
        <v>EXEC sp_detach_db '21083081', 'true';</v>
      </c>
      <c r="L40" t="str">
        <f t="shared" si="6"/>
        <v>DROP DATABASE [21083081]</v>
      </c>
    </row>
    <row r="41" spans="1:12" x14ac:dyDescent="0.25">
      <c r="A41">
        <v>40</v>
      </c>
      <c r="B41" s="51" t="s">
        <v>319</v>
      </c>
      <c r="C41" t="s">
        <v>171</v>
      </c>
      <c r="D41" t="s">
        <v>164</v>
      </c>
      <c r="E41" t="s">
        <v>389</v>
      </c>
      <c r="F41" t="str">
        <f t="shared" si="0"/>
        <v>RESTORE DATABASE [21002765] FROM DISK='E:\232_AIS_CK\DataMau.mbk'  WITH MOVE 'MISASME2015' TO 'E:\232_AIS_CK\DHKTKT18A\21002765.mdf', MOVE 'MISASME2015_log' TO 'E:\232_AIS_CK\DHKTKT18A\21002765.ldf';</v>
      </c>
      <c r="G41" t="str">
        <f t="shared" si="1"/>
        <v>use [21002765];   update MSC_User set UserName='21002765',FullName=N'Nguyễn Thị Thùy Nhi',FirstName=N'Nhi',LastName=N'Nguyễn Thị Thùy' where UserName='SV'</v>
      </c>
      <c r="H41" t="str">
        <f t="shared" si="2"/>
        <v>ALTER DATABASE [21002765] SET OFFLINE WITH ROLLBACK IMMEDIATE</v>
      </c>
      <c r="I41" t="str">
        <f t="shared" si="3"/>
        <v>ALTER DATABASE [21002765] SET ONLINE</v>
      </c>
      <c r="J41" t="str">
        <f t="shared" si="4"/>
        <v>insert into [SVLogin].dbo.DuLieu select UserName, FirstName, LastName from [21002765].dbo.MSC_User where UserName &lt;&gt; '0983125672' and MISAID is not null</v>
      </c>
      <c r="K41" t="str">
        <f t="shared" si="5"/>
        <v>EXEC sp_detach_db '21002765', 'true';</v>
      </c>
      <c r="L41" t="str">
        <f t="shared" si="6"/>
        <v>DROP DATABASE [21002765]</v>
      </c>
    </row>
    <row r="42" spans="1:12" x14ac:dyDescent="0.25">
      <c r="A42">
        <v>41</v>
      </c>
      <c r="B42" s="51" t="s">
        <v>320</v>
      </c>
      <c r="C42" t="s">
        <v>232</v>
      </c>
      <c r="D42" t="s">
        <v>164</v>
      </c>
      <c r="E42" t="s">
        <v>389</v>
      </c>
      <c r="F42" t="str">
        <f t="shared" si="0"/>
        <v>RESTORE DATABASE [21068131] FROM DISK='E:\232_AIS_CK\DataMau.mbk'  WITH MOVE 'MISASME2015' TO 'E:\232_AIS_CK\DHKTKT18A\21068131.mdf', MOVE 'MISASME2015_log' TO 'E:\232_AIS_CK\DHKTKT18A\21068131.ldf';</v>
      </c>
      <c r="G42" t="str">
        <f t="shared" si="1"/>
        <v>use [21068131];   update MSC_User set UserName='21068131',FullName=N'Nguyễn Thị Uyển Nhi',FirstName=N'Nhi',LastName=N'Nguyễn Thị Uyển' where UserName='SV'</v>
      </c>
      <c r="H42" t="str">
        <f t="shared" si="2"/>
        <v>ALTER DATABASE [21068131] SET OFFLINE WITH ROLLBACK IMMEDIATE</v>
      </c>
      <c r="I42" t="str">
        <f t="shared" si="3"/>
        <v>ALTER DATABASE [21068131] SET ONLINE</v>
      </c>
      <c r="J42" t="str">
        <f t="shared" si="4"/>
        <v>insert into [SVLogin].dbo.DuLieu select UserName, FirstName, LastName from [21068131].dbo.MSC_User where UserName &lt;&gt; '0983125672' and MISAID is not null</v>
      </c>
      <c r="K42" t="str">
        <f t="shared" si="5"/>
        <v>EXEC sp_detach_db '21068131', 'true';</v>
      </c>
      <c r="L42" t="str">
        <f t="shared" si="6"/>
        <v>DROP DATABASE [21068131]</v>
      </c>
    </row>
    <row r="43" spans="1:12" x14ac:dyDescent="0.25">
      <c r="A43">
        <v>42</v>
      </c>
      <c r="B43" s="51" t="s">
        <v>321</v>
      </c>
      <c r="C43" t="s">
        <v>322</v>
      </c>
      <c r="D43" t="s">
        <v>165</v>
      </c>
      <c r="E43" t="s">
        <v>389</v>
      </c>
      <c r="F43" t="str">
        <f t="shared" si="0"/>
        <v>RESTORE DATABASE [22706841] FROM DISK='E:\232_AIS_CK\DataMau.mbk'  WITH MOVE 'MISASME2015' TO 'E:\232_AIS_CK\DHKTKT18A\22706841.mdf', MOVE 'MISASME2015_log' TO 'E:\232_AIS_CK\DHKTKT18A\22706841.ldf';</v>
      </c>
      <c r="G43" t="str">
        <f t="shared" si="1"/>
        <v>use [22706841];   update MSC_User set UserName='22706841',FullName=N'Huỳnh Như',FirstName=N'Như',LastName=N'Huỳnh' where UserName='SV'</v>
      </c>
      <c r="H43" t="str">
        <f t="shared" si="2"/>
        <v>ALTER DATABASE [22706841] SET OFFLINE WITH ROLLBACK IMMEDIATE</v>
      </c>
      <c r="I43" t="str">
        <f t="shared" si="3"/>
        <v>ALTER DATABASE [22706841] SET ONLINE</v>
      </c>
      <c r="J43" t="str">
        <f t="shared" si="4"/>
        <v>insert into [SVLogin].dbo.DuLieu select UserName, FirstName, LastName from [22706841].dbo.MSC_User where UserName &lt;&gt; '0983125672' and MISAID is not null</v>
      </c>
      <c r="K43" t="str">
        <f t="shared" si="5"/>
        <v>EXEC sp_detach_db '22706841', 'true';</v>
      </c>
      <c r="L43" t="str">
        <f t="shared" si="6"/>
        <v>DROP DATABASE [22706841]</v>
      </c>
    </row>
    <row r="44" spans="1:12" x14ac:dyDescent="0.25">
      <c r="A44">
        <v>43</v>
      </c>
      <c r="B44" s="51" t="s">
        <v>323</v>
      </c>
      <c r="C44" t="s">
        <v>324</v>
      </c>
      <c r="D44" t="s">
        <v>165</v>
      </c>
      <c r="E44" t="s">
        <v>389</v>
      </c>
      <c r="F44" t="str">
        <f t="shared" si="0"/>
        <v>RESTORE DATABASE [22642271] FROM DISK='E:\232_AIS_CK\DataMau.mbk'  WITH MOVE 'MISASME2015' TO 'E:\232_AIS_CK\DHKTKT18A\22642271.mdf', MOVE 'MISASME2015_log' TO 'E:\232_AIS_CK\DHKTKT18A\22642271.ldf';</v>
      </c>
      <c r="G44" t="str">
        <f t="shared" si="1"/>
        <v>use [22642271];   update MSC_User set UserName='22642271',FullName=N'Trần Thị Quỳnh Như',FirstName=N'Như',LastName=N'Trần Thị Quỳnh' where UserName='SV'</v>
      </c>
      <c r="H44" t="str">
        <f t="shared" si="2"/>
        <v>ALTER DATABASE [22642271] SET OFFLINE WITH ROLLBACK IMMEDIATE</v>
      </c>
      <c r="I44" t="str">
        <f t="shared" si="3"/>
        <v>ALTER DATABASE [22642271] SET ONLINE</v>
      </c>
      <c r="J44" t="str">
        <f t="shared" si="4"/>
        <v>insert into [SVLogin].dbo.DuLieu select UserName, FirstName, LastName from [22642271].dbo.MSC_User where UserName &lt;&gt; '0983125672' and MISAID is not null</v>
      </c>
      <c r="K44" t="str">
        <f t="shared" si="5"/>
        <v>EXEC sp_detach_db '22642271', 'true';</v>
      </c>
      <c r="L44" t="str">
        <f t="shared" si="6"/>
        <v>DROP DATABASE [22642271]</v>
      </c>
    </row>
    <row r="45" spans="1:12" x14ac:dyDescent="0.25">
      <c r="A45">
        <v>44</v>
      </c>
      <c r="B45" s="51" t="s">
        <v>325</v>
      </c>
      <c r="C45" t="s">
        <v>326</v>
      </c>
      <c r="D45" t="s">
        <v>166</v>
      </c>
      <c r="E45" t="s">
        <v>389</v>
      </c>
      <c r="F45" t="str">
        <f t="shared" si="0"/>
        <v>RESTORE DATABASE [21070441] FROM DISK='E:\232_AIS_CK\DataMau.mbk'  WITH MOVE 'MISASME2015' TO 'E:\232_AIS_CK\DHKTKT18A\21070441.mdf', MOVE 'MISASME2015_log' TO 'E:\232_AIS_CK\DHKTKT18A\21070441.ldf';</v>
      </c>
      <c r="G45" t="str">
        <f t="shared" si="1"/>
        <v>use [21070441];   update MSC_User set UserName='21070441',FullName=N'Lê Thị Diệu Phương',FirstName=N'Phương',LastName=N'Lê Thị Diệu' where UserName='SV'</v>
      </c>
      <c r="H45" t="str">
        <f t="shared" si="2"/>
        <v>ALTER DATABASE [21070441] SET OFFLINE WITH ROLLBACK IMMEDIATE</v>
      </c>
      <c r="I45" t="str">
        <f t="shared" si="3"/>
        <v>ALTER DATABASE [21070441] SET ONLINE</v>
      </c>
      <c r="J45" t="str">
        <f t="shared" si="4"/>
        <v>insert into [SVLogin].dbo.DuLieu select UserName, FirstName, LastName from [21070441].dbo.MSC_User where UserName &lt;&gt; '0983125672' and MISAID is not null</v>
      </c>
      <c r="K45" t="str">
        <f t="shared" si="5"/>
        <v>EXEC sp_detach_db '21070441', 'true';</v>
      </c>
      <c r="L45" t="str">
        <f t="shared" si="6"/>
        <v>DROP DATABASE [21070441]</v>
      </c>
    </row>
    <row r="46" spans="1:12" x14ac:dyDescent="0.25">
      <c r="A46">
        <v>45</v>
      </c>
      <c r="B46" s="51" t="s">
        <v>327</v>
      </c>
      <c r="C46" t="s">
        <v>188</v>
      </c>
      <c r="D46" t="s">
        <v>328</v>
      </c>
      <c r="E46" t="s">
        <v>389</v>
      </c>
      <c r="F46" t="str">
        <f t="shared" si="0"/>
        <v>RESTORE DATABASE [22665471] FROM DISK='E:\232_AIS_CK\DataMau.mbk'  WITH MOVE 'MISASME2015' TO 'E:\232_AIS_CK\DHKTKT18A\22665471.mdf', MOVE 'MISASME2015_log' TO 'E:\232_AIS_CK\DHKTKT18A\22665471.ldf';</v>
      </c>
      <c r="G46" t="str">
        <f t="shared" si="1"/>
        <v>use [22665471];   update MSC_User set UserName='22665471',FullName=N'Trần Thanh Quang',FirstName=N'Quang',LastName=N'Trần Thanh' where UserName='SV'</v>
      </c>
      <c r="H46" t="str">
        <f t="shared" si="2"/>
        <v>ALTER DATABASE [22665471] SET OFFLINE WITH ROLLBACK IMMEDIATE</v>
      </c>
      <c r="I46" t="str">
        <f t="shared" si="3"/>
        <v>ALTER DATABASE [22665471] SET ONLINE</v>
      </c>
      <c r="J46" t="str">
        <f t="shared" si="4"/>
        <v>insert into [SVLogin].dbo.DuLieu select UserName, FirstName, LastName from [22665471].dbo.MSC_User where UserName &lt;&gt; '0983125672' and MISAID is not null</v>
      </c>
      <c r="K46" t="str">
        <f t="shared" si="5"/>
        <v>EXEC sp_detach_db '22665471', 'true';</v>
      </c>
      <c r="L46" t="str">
        <f t="shared" si="6"/>
        <v>DROP DATABASE [22665471]</v>
      </c>
    </row>
    <row r="47" spans="1:12" x14ac:dyDescent="0.25">
      <c r="A47">
        <v>46</v>
      </c>
      <c r="B47" s="51" t="s">
        <v>329</v>
      </c>
      <c r="C47" t="s">
        <v>330</v>
      </c>
      <c r="D47" t="s">
        <v>178</v>
      </c>
      <c r="E47" t="s">
        <v>389</v>
      </c>
      <c r="F47" t="str">
        <f t="shared" si="0"/>
        <v>RESTORE DATABASE [22683981] FROM DISK='E:\232_AIS_CK\DataMau.mbk'  WITH MOVE 'MISASME2015' TO 'E:\232_AIS_CK\DHKTKT18A\22683981.mdf', MOVE 'MISASME2015_log' TO 'E:\232_AIS_CK\DHKTKT18A\22683981.ldf';</v>
      </c>
      <c r="G47" t="str">
        <f t="shared" si="1"/>
        <v>use [22683981];   update MSC_User set UserName='22683981',FullName=N'Bùi Ngoc Quỳnh',FirstName=N'Quỳnh',LastName=N'Bùi Ngoc' where UserName='SV'</v>
      </c>
      <c r="H47" t="str">
        <f t="shared" si="2"/>
        <v>ALTER DATABASE [22683981] SET OFFLINE WITH ROLLBACK IMMEDIATE</v>
      </c>
      <c r="I47" t="str">
        <f t="shared" si="3"/>
        <v>ALTER DATABASE [22683981] SET ONLINE</v>
      </c>
      <c r="J47" t="str">
        <f t="shared" si="4"/>
        <v>insert into [SVLogin].dbo.DuLieu select UserName, FirstName, LastName from [22683981].dbo.MSC_User where UserName &lt;&gt; '0983125672' and MISAID is not null</v>
      </c>
      <c r="K47" t="str">
        <f t="shared" si="5"/>
        <v>EXEC sp_detach_db '22683981', 'true';</v>
      </c>
      <c r="L47" t="str">
        <f t="shared" si="6"/>
        <v>DROP DATABASE [22683981]</v>
      </c>
    </row>
    <row r="48" spans="1:12" x14ac:dyDescent="0.25">
      <c r="A48">
        <v>47</v>
      </c>
      <c r="B48" s="51" t="s">
        <v>331</v>
      </c>
      <c r="C48" t="s">
        <v>332</v>
      </c>
      <c r="D48" t="s">
        <v>178</v>
      </c>
      <c r="E48" t="s">
        <v>389</v>
      </c>
      <c r="F48" t="str">
        <f t="shared" si="0"/>
        <v>RESTORE DATABASE [22663881] FROM DISK='E:\232_AIS_CK\DataMau.mbk'  WITH MOVE 'MISASME2015' TO 'E:\232_AIS_CK\DHKTKT18A\22663881.mdf', MOVE 'MISASME2015_log' TO 'E:\232_AIS_CK\DHKTKT18A\22663881.ldf';</v>
      </c>
      <c r="G48" t="str">
        <f t="shared" si="1"/>
        <v>use [22663881];   update MSC_User set UserName='22663881',FullName=N'Đào Thị Như Quỳnh',FirstName=N'Quỳnh',LastName=N'Đào Thị Như' where UserName='SV'</v>
      </c>
      <c r="H48" t="str">
        <f t="shared" si="2"/>
        <v>ALTER DATABASE [22663881] SET OFFLINE WITH ROLLBACK IMMEDIATE</v>
      </c>
      <c r="I48" t="str">
        <f t="shared" si="3"/>
        <v>ALTER DATABASE [22663881] SET ONLINE</v>
      </c>
      <c r="J48" t="str">
        <f t="shared" si="4"/>
        <v>insert into [SVLogin].dbo.DuLieu select UserName, FirstName, LastName from [22663881].dbo.MSC_User where UserName &lt;&gt; '0983125672' and MISAID is not null</v>
      </c>
      <c r="K48" t="str">
        <f t="shared" si="5"/>
        <v>EXEC sp_detach_db '22663881', 'true';</v>
      </c>
      <c r="L48" t="str">
        <f t="shared" si="6"/>
        <v>DROP DATABASE [22663881]</v>
      </c>
    </row>
    <row r="49" spans="1:12" x14ac:dyDescent="0.25">
      <c r="A49">
        <v>48</v>
      </c>
      <c r="B49" s="51" t="s">
        <v>333</v>
      </c>
      <c r="C49" t="s">
        <v>334</v>
      </c>
      <c r="D49" t="s">
        <v>178</v>
      </c>
      <c r="E49" t="s">
        <v>389</v>
      </c>
      <c r="F49" t="str">
        <f t="shared" si="0"/>
        <v>RESTORE DATABASE [21069781] FROM DISK='E:\232_AIS_CK\DataMau.mbk'  WITH MOVE 'MISASME2015' TO 'E:\232_AIS_CK\DHKTKT18A\21069781.mdf', MOVE 'MISASME2015_log' TO 'E:\232_AIS_CK\DHKTKT18A\21069781.ldf';</v>
      </c>
      <c r="G49" t="str">
        <f t="shared" si="1"/>
        <v>use [21069781];   update MSC_User set UserName='21069781',FullName=N'Hồ Nguyễn Bảo Quỳnh',FirstName=N'Quỳnh',LastName=N'Hồ Nguyễn Bảo' where UserName='SV'</v>
      </c>
      <c r="H49" t="str">
        <f t="shared" si="2"/>
        <v>ALTER DATABASE [21069781] SET OFFLINE WITH ROLLBACK IMMEDIATE</v>
      </c>
      <c r="I49" t="str">
        <f t="shared" si="3"/>
        <v>ALTER DATABASE [21069781] SET ONLINE</v>
      </c>
      <c r="J49" t="str">
        <f t="shared" si="4"/>
        <v>insert into [SVLogin].dbo.DuLieu select UserName, FirstName, LastName from [21069781].dbo.MSC_User where UserName &lt;&gt; '0983125672' and MISAID is not null</v>
      </c>
      <c r="K49" t="str">
        <f t="shared" si="5"/>
        <v>EXEC sp_detach_db '21069781', 'true';</v>
      </c>
      <c r="L49" t="str">
        <f t="shared" si="6"/>
        <v>DROP DATABASE [21069781]</v>
      </c>
    </row>
    <row r="50" spans="1:12" x14ac:dyDescent="0.25">
      <c r="A50">
        <v>49</v>
      </c>
      <c r="B50" s="51" t="s">
        <v>335</v>
      </c>
      <c r="C50" t="s">
        <v>336</v>
      </c>
      <c r="D50" t="s">
        <v>178</v>
      </c>
      <c r="E50" t="s">
        <v>389</v>
      </c>
      <c r="F50" t="str">
        <f t="shared" si="0"/>
        <v>RESTORE DATABASE [22636531] FROM DISK='E:\232_AIS_CK\DataMau.mbk'  WITH MOVE 'MISASME2015' TO 'E:\232_AIS_CK\DHKTKT18A\22636531.mdf', MOVE 'MISASME2015_log' TO 'E:\232_AIS_CK\DHKTKT18A\22636531.ldf';</v>
      </c>
      <c r="G50" t="str">
        <f t="shared" si="1"/>
        <v>use [22636531];   update MSC_User set UserName='22636531',FullName=N'Nguyễn Ngọc Như Quỳnh',FirstName=N'Quỳnh',LastName=N'Nguyễn Ngọc Như' where UserName='SV'</v>
      </c>
      <c r="H50" t="str">
        <f t="shared" si="2"/>
        <v>ALTER DATABASE [22636531] SET OFFLINE WITH ROLLBACK IMMEDIATE</v>
      </c>
      <c r="I50" t="str">
        <f t="shared" si="3"/>
        <v>ALTER DATABASE [22636531] SET ONLINE</v>
      </c>
      <c r="J50" t="str">
        <f t="shared" si="4"/>
        <v>insert into [SVLogin].dbo.DuLieu select UserName, FirstName, LastName from [22636531].dbo.MSC_User where UserName &lt;&gt; '0983125672' and MISAID is not null</v>
      </c>
      <c r="K50" t="str">
        <f t="shared" si="5"/>
        <v>EXEC sp_detach_db '22636531', 'true';</v>
      </c>
      <c r="L50" t="str">
        <f t="shared" si="6"/>
        <v>DROP DATABASE [22636531]</v>
      </c>
    </row>
    <row r="51" spans="1:12" x14ac:dyDescent="0.25">
      <c r="A51">
        <v>50</v>
      </c>
      <c r="B51" s="51" t="s">
        <v>337</v>
      </c>
      <c r="C51" t="s">
        <v>338</v>
      </c>
      <c r="D51" t="s">
        <v>178</v>
      </c>
      <c r="E51" t="s">
        <v>389</v>
      </c>
      <c r="F51" t="str">
        <f t="shared" si="0"/>
        <v>RESTORE DATABASE [20095441] FROM DISK='E:\232_AIS_CK\DataMau.mbk'  WITH MOVE 'MISASME2015' TO 'E:\232_AIS_CK\DHKTKT18A\20095441.mdf', MOVE 'MISASME2015_log' TO 'E:\232_AIS_CK\DHKTKT18A\20095441.ldf';</v>
      </c>
      <c r="G51" t="str">
        <f t="shared" si="1"/>
        <v>use [20095441];   update MSC_User set UserName='20095441',FullName=N'Trịnh Thị Hương Quỳnh',FirstName=N'Quỳnh',LastName=N'Trịnh Thị Hương' where UserName='SV'</v>
      </c>
      <c r="H51" t="str">
        <f t="shared" si="2"/>
        <v>ALTER DATABASE [20095441] SET OFFLINE WITH ROLLBACK IMMEDIATE</v>
      </c>
      <c r="I51" t="str">
        <f t="shared" si="3"/>
        <v>ALTER DATABASE [20095441] SET ONLINE</v>
      </c>
      <c r="J51" t="str">
        <f t="shared" si="4"/>
        <v>insert into [SVLogin].dbo.DuLieu select UserName, FirstName, LastName from [20095441].dbo.MSC_User where UserName &lt;&gt; '0983125672' and MISAID is not null</v>
      </c>
      <c r="K51" t="str">
        <f t="shared" si="5"/>
        <v>EXEC sp_detach_db '20095441', 'true';</v>
      </c>
      <c r="L51" t="str">
        <f t="shared" si="6"/>
        <v>DROP DATABASE [20095441]</v>
      </c>
    </row>
    <row r="52" spans="1:12" x14ac:dyDescent="0.25">
      <c r="A52">
        <v>51</v>
      </c>
      <c r="B52" s="51" t="s">
        <v>339</v>
      </c>
      <c r="C52" t="s">
        <v>340</v>
      </c>
      <c r="D52" t="s">
        <v>341</v>
      </c>
      <c r="E52" t="s">
        <v>389</v>
      </c>
      <c r="F52" t="str">
        <f t="shared" si="0"/>
        <v>RESTORE DATABASE [22681561] FROM DISK='E:\232_AIS_CK\DataMau.mbk'  WITH MOVE 'MISASME2015' TO 'E:\232_AIS_CK\DHKTKT18A\22681561.mdf', MOVE 'MISASME2015_log' TO 'E:\232_AIS_CK\DHKTKT18A\22681561.ldf';</v>
      </c>
      <c r="G52" t="str">
        <f t="shared" si="1"/>
        <v>use [22681561];   update MSC_User set UserName='22681561',FullName=N'Huỳnh Thị Minh Tâm',FirstName=N'Tâm',LastName=N'Huỳnh Thị Minh' where UserName='SV'</v>
      </c>
      <c r="H52" t="str">
        <f t="shared" si="2"/>
        <v>ALTER DATABASE [22681561] SET OFFLINE WITH ROLLBACK IMMEDIATE</v>
      </c>
      <c r="I52" t="str">
        <f t="shared" si="3"/>
        <v>ALTER DATABASE [22681561] SET ONLINE</v>
      </c>
      <c r="J52" t="str">
        <f t="shared" si="4"/>
        <v>insert into [SVLogin].dbo.DuLieu select UserName, FirstName, LastName from [22681561].dbo.MSC_User where UserName &lt;&gt; '0983125672' and MISAID is not null</v>
      </c>
      <c r="K52" t="str">
        <f t="shared" si="5"/>
        <v>EXEC sp_detach_db '22681561', 'true';</v>
      </c>
      <c r="L52" t="str">
        <f t="shared" si="6"/>
        <v>DROP DATABASE [22681561]</v>
      </c>
    </row>
    <row r="53" spans="1:12" x14ac:dyDescent="0.25">
      <c r="A53">
        <v>52</v>
      </c>
      <c r="B53" s="51" t="s">
        <v>342</v>
      </c>
      <c r="C53" t="s">
        <v>343</v>
      </c>
      <c r="D53" t="s">
        <v>344</v>
      </c>
      <c r="E53" t="s">
        <v>389</v>
      </c>
      <c r="F53" t="str">
        <f t="shared" si="0"/>
        <v>RESTORE DATABASE [20081841] FROM DISK='E:\232_AIS_CK\DataMau.mbk'  WITH MOVE 'MISASME2015' TO 'E:\232_AIS_CK\DHKTKT18A\20081841.mdf', MOVE 'MISASME2015_log' TO 'E:\232_AIS_CK\DHKTKT18A\20081841.ldf';</v>
      </c>
      <c r="G53" t="str">
        <f t="shared" si="1"/>
        <v>use [20081841];   update MSC_User set UserName='20081841',FullName=N'Hồ Việt Tân',FirstName=N'Tân',LastName=N'Hồ Việt' where UserName='SV'</v>
      </c>
      <c r="H53" t="str">
        <f t="shared" si="2"/>
        <v>ALTER DATABASE [20081841] SET OFFLINE WITH ROLLBACK IMMEDIATE</v>
      </c>
      <c r="I53" t="str">
        <f t="shared" si="3"/>
        <v>ALTER DATABASE [20081841] SET ONLINE</v>
      </c>
      <c r="J53" t="str">
        <f t="shared" si="4"/>
        <v>insert into [SVLogin].dbo.DuLieu select UserName, FirstName, LastName from [20081841].dbo.MSC_User where UserName &lt;&gt; '0983125672' and MISAID is not null</v>
      </c>
      <c r="K53" t="str">
        <f t="shared" si="5"/>
        <v>EXEC sp_detach_db '20081841', 'true';</v>
      </c>
      <c r="L53" t="str">
        <f t="shared" si="6"/>
        <v>DROP DATABASE [20081841]</v>
      </c>
    </row>
    <row r="54" spans="1:12" x14ac:dyDescent="0.25">
      <c r="A54">
        <v>53</v>
      </c>
      <c r="B54" s="51" t="s">
        <v>345</v>
      </c>
      <c r="C54" t="s">
        <v>346</v>
      </c>
      <c r="D54" t="s">
        <v>347</v>
      </c>
      <c r="E54" t="s">
        <v>389</v>
      </c>
      <c r="F54" t="str">
        <f t="shared" si="0"/>
        <v>RESTORE DATABASE [21031021] FROM DISK='E:\232_AIS_CK\DataMau.mbk'  WITH MOVE 'MISASME2015' TO 'E:\232_AIS_CK\DHKTKT18A\21031021.mdf', MOVE 'MISASME2015_log' TO 'E:\232_AIS_CK\DHKTKT18A\21031021.ldf';</v>
      </c>
      <c r="G54" t="str">
        <f t="shared" si="1"/>
        <v>use [21031021];   update MSC_User set UserName='21031021',FullName=N'Huỳnh Lê Phương Thanh',FirstName=N'Thanh',LastName=N'Huỳnh Lê Phương' where UserName='SV'</v>
      </c>
      <c r="H54" t="str">
        <f t="shared" si="2"/>
        <v>ALTER DATABASE [21031021] SET OFFLINE WITH ROLLBACK IMMEDIATE</v>
      </c>
      <c r="I54" t="str">
        <f t="shared" si="3"/>
        <v>ALTER DATABASE [21031021] SET ONLINE</v>
      </c>
      <c r="J54" t="str">
        <f t="shared" si="4"/>
        <v>insert into [SVLogin].dbo.DuLieu select UserName, FirstName, LastName from [21031021].dbo.MSC_User where UserName &lt;&gt; '0983125672' and MISAID is not null</v>
      </c>
      <c r="K54" t="str">
        <f t="shared" si="5"/>
        <v>EXEC sp_detach_db '21031021', 'true';</v>
      </c>
      <c r="L54" t="str">
        <f t="shared" si="6"/>
        <v>DROP DATABASE [21031021]</v>
      </c>
    </row>
    <row r="55" spans="1:12" x14ac:dyDescent="0.25">
      <c r="A55">
        <v>54</v>
      </c>
      <c r="B55" s="51" t="s">
        <v>348</v>
      </c>
      <c r="C55" t="s">
        <v>349</v>
      </c>
      <c r="D55" t="s">
        <v>350</v>
      </c>
      <c r="E55" t="s">
        <v>389</v>
      </c>
      <c r="F55" t="str">
        <f t="shared" si="0"/>
        <v>RESTORE DATABASE [22690791] FROM DISK='E:\232_AIS_CK\DataMau.mbk'  WITH MOVE 'MISASME2015' TO 'E:\232_AIS_CK\DHKTKT18A\22690791.mdf', MOVE 'MISASME2015_log' TO 'E:\232_AIS_CK\DHKTKT18A\22690791.ldf';</v>
      </c>
      <c r="G55" t="str">
        <f t="shared" si="1"/>
        <v>use [22690791];   update MSC_User set UserName='22690791',FullName=N'Lê Nguyễn Quang Thành',FirstName=N'Thành',LastName=N'Lê Nguyễn Quang' where UserName='SV'</v>
      </c>
      <c r="H55" t="str">
        <f t="shared" si="2"/>
        <v>ALTER DATABASE [22690791] SET OFFLINE WITH ROLLBACK IMMEDIATE</v>
      </c>
      <c r="I55" t="str">
        <f t="shared" si="3"/>
        <v>ALTER DATABASE [22690791] SET ONLINE</v>
      </c>
      <c r="J55" t="str">
        <f t="shared" si="4"/>
        <v>insert into [SVLogin].dbo.DuLieu select UserName, FirstName, LastName from [22690791].dbo.MSC_User where UserName &lt;&gt; '0983125672' and MISAID is not null</v>
      </c>
      <c r="K55" t="str">
        <f t="shared" si="5"/>
        <v>EXEC sp_detach_db '22690791', 'true';</v>
      </c>
      <c r="L55" t="str">
        <f t="shared" si="6"/>
        <v>DROP DATABASE [22690791]</v>
      </c>
    </row>
    <row r="56" spans="1:12" x14ac:dyDescent="0.25">
      <c r="A56">
        <v>55</v>
      </c>
      <c r="B56" s="51" t="s">
        <v>351</v>
      </c>
      <c r="C56" t="s">
        <v>352</v>
      </c>
      <c r="D56" t="s">
        <v>167</v>
      </c>
      <c r="E56" t="s">
        <v>389</v>
      </c>
      <c r="F56" t="str">
        <f t="shared" si="0"/>
        <v>RESTORE DATABASE [22694011] FROM DISK='E:\232_AIS_CK\DataMau.mbk'  WITH MOVE 'MISASME2015' TO 'E:\232_AIS_CK\DHKTKT18A\22694011.mdf', MOVE 'MISASME2015_log' TO 'E:\232_AIS_CK\DHKTKT18A\22694011.ldf';</v>
      </c>
      <c r="G56" t="str">
        <f t="shared" si="1"/>
        <v>use [22694011];   update MSC_User set UserName='22694011',FullName=N'Bùi Thị Thảo',FirstName=N'Thảo',LastName=N'Bùi Thị' where UserName='SV'</v>
      </c>
      <c r="H56" t="str">
        <f t="shared" si="2"/>
        <v>ALTER DATABASE [22694011] SET OFFLINE WITH ROLLBACK IMMEDIATE</v>
      </c>
      <c r="I56" t="str">
        <f t="shared" si="3"/>
        <v>ALTER DATABASE [22694011] SET ONLINE</v>
      </c>
      <c r="J56" t="str">
        <f t="shared" si="4"/>
        <v>insert into [SVLogin].dbo.DuLieu select UserName, FirstName, LastName from [22694011].dbo.MSC_User where UserName &lt;&gt; '0983125672' and MISAID is not null</v>
      </c>
      <c r="K56" t="str">
        <f t="shared" si="5"/>
        <v>EXEC sp_detach_db '22694011', 'true';</v>
      </c>
      <c r="L56" t="str">
        <f t="shared" si="6"/>
        <v>DROP DATABASE [22694011]</v>
      </c>
    </row>
    <row r="57" spans="1:12" x14ac:dyDescent="0.25">
      <c r="A57">
        <v>56</v>
      </c>
      <c r="B57" s="51" t="s">
        <v>353</v>
      </c>
      <c r="C57" t="s">
        <v>168</v>
      </c>
      <c r="D57" t="s">
        <v>354</v>
      </c>
      <c r="E57" t="s">
        <v>389</v>
      </c>
      <c r="F57" t="str">
        <f t="shared" si="0"/>
        <v>RESTORE DATABASE [22683351] FROM DISK='E:\232_AIS_CK\DataMau.mbk'  WITH MOVE 'MISASME2015' TO 'E:\232_AIS_CK\DHKTKT18A\22683351.mdf', MOVE 'MISASME2015_log' TO 'E:\232_AIS_CK\DHKTKT18A\22683351.ldf';</v>
      </c>
      <c r="G57" t="str">
        <f t="shared" si="1"/>
        <v>use [22683351];   update MSC_User set UserName='22683351',FullName=N'Nguyễn Thị Thanh Thuý',FirstName=N'Thuý',LastName=N'Nguyễn Thị Thanh' where UserName='SV'</v>
      </c>
      <c r="H57" t="str">
        <f t="shared" si="2"/>
        <v>ALTER DATABASE [22683351] SET OFFLINE WITH ROLLBACK IMMEDIATE</v>
      </c>
      <c r="I57" t="str">
        <f t="shared" si="3"/>
        <v>ALTER DATABASE [22683351] SET ONLINE</v>
      </c>
      <c r="J57" t="str">
        <f t="shared" si="4"/>
        <v>insert into [SVLogin].dbo.DuLieu select UserName, FirstName, LastName from [22683351].dbo.MSC_User where UserName &lt;&gt; '0983125672' and MISAID is not null</v>
      </c>
      <c r="K57" t="str">
        <f t="shared" si="5"/>
        <v>EXEC sp_detach_db '22683351', 'true';</v>
      </c>
      <c r="L57" t="str">
        <f t="shared" si="6"/>
        <v>DROP DATABASE [22683351]</v>
      </c>
    </row>
    <row r="58" spans="1:12" x14ac:dyDescent="0.25">
      <c r="A58">
        <v>57</v>
      </c>
      <c r="B58" s="51" t="s">
        <v>355</v>
      </c>
      <c r="C58" t="s">
        <v>356</v>
      </c>
      <c r="D58" t="s">
        <v>186</v>
      </c>
      <c r="E58" t="s">
        <v>389</v>
      </c>
      <c r="F58" t="str">
        <f t="shared" si="0"/>
        <v>RESTORE DATABASE [22706631] FROM DISK='E:\232_AIS_CK\DataMau.mbk'  WITH MOVE 'MISASME2015' TO 'E:\232_AIS_CK\DHKTKT18A\22706631.mdf', MOVE 'MISASME2015_log' TO 'E:\232_AIS_CK\DHKTKT18A\22706631.ldf';</v>
      </c>
      <c r="G58" t="str">
        <f t="shared" si="1"/>
        <v>use [22706631];   update MSC_User set UserName='22706631',FullName=N'Nguyễn Anh Phương Thùy',FirstName=N'Thùy',LastName=N'Nguyễn Anh Phương' where UserName='SV'</v>
      </c>
      <c r="H58" t="str">
        <f t="shared" si="2"/>
        <v>ALTER DATABASE [22706631] SET OFFLINE WITH ROLLBACK IMMEDIATE</v>
      </c>
      <c r="I58" t="str">
        <f t="shared" si="3"/>
        <v>ALTER DATABASE [22706631] SET ONLINE</v>
      </c>
      <c r="J58" t="str">
        <f t="shared" si="4"/>
        <v>insert into [SVLogin].dbo.DuLieu select UserName, FirstName, LastName from [22706631].dbo.MSC_User where UserName &lt;&gt; '0983125672' and MISAID is not null</v>
      </c>
      <c r="K58" t="str">
        <f t="shared" si="5"/>
        <v>EXEC sp_detach_db '22706631', 'true';</v>
      </c>
      <c r="L58" t="str">
        <f t="shared" si="6"/>
        <v>DROP DATABASE [22706631]</v>
      </c>
    </row>
    <row r="59" spans="1:12" x14ac:dyDescent="0.25">
      <c r="A59">
        <v>58</v>
      </c>
      <c r="B59" s="51" t="s">
        <v>357</v>
      </c>
      <c r="C59" t="s">
        <v>358</v>
      </c>
      <c r="D59" t="s">
        <v>186</v>
      </c>
      <c r="E59" t="s">
        <v>389</v>
      </c>
      <c r="F59" t="str">
        <f t="shared" si="0"/>
        <v>RESTORE DATABASE [22649521] FROM DISK='E:\232_AIS_CK\DataMau.mbk'  WITH MOVE 'MISASME2015' TO 'E:\232_AIS_CK\DHKTKT18A\22649521.mdf', MOVE 'MISASME2015_log' TO 'E:\232_AIS_CK\DHKTKT18A\22649521.ldf';</v>
      </c>
      <c r="G59" t="str">
        <f t="shared" si="1"/>
        <v>use [22649521];   update MSC_User set UserName='22649521',FullName=N'Phạm Ngọc Phương Thùy',FirstName=N'Thùy',LastName=N'Phạm Ngọc Phương' where UserName='SV'</v>
      </c>
      <c r="H59" t="str">
        <f t="shared" si="2"/>
        <v>ALTER DATABASE [22649521] SET OFFLINE WITH ROLLBACK IMMEDIATE</v>
      </c>
      <c r="I59" t="str">
        <f t="shared" si="3"/>
        <v>ALTER DATABASE [22649521] SET ONLINE</v>
      </c>
      <c r="J59" t="str">
        <f t="shared" si="4"/>
        <v>insert into [SVLogin].dbo.DuLieu select UserName, FirstName, LastName from [22649521].dbo.MSC_User where UserName &lt;&gt; '0983125672' and MISAID is not null</v>
      </c>
      <c r="K59" t="str">
        <f t="shared" si="5"/>
        <v>EXEC sp_detach_db '22649521', 'true';</v>
      </c>
      <c r="L59" t="str">
        <f t="shared" si="6"/>
        <v>DROP DATABASE [22649521]</v>
      </c>
    </row>
    <row r="60" spans="1:12" x14ac:dyDescent="0.25">
      <c r="A60">
        <v>59</v>
      </c>
      <c r="B60" s="51" t="s">
        <v>359</v>
      </c>
      <c r="C60" t="s">
        <v>360</v>
      </c>
      <c r="D60" t="s">
        <v>169</v>
      </c>
      <c r="E60" t="s">
        <v>389</v>
      </c>
      <c r="F60" t="str">
        <f t="shared" si="0"/>
        <v>RESTORE DATABASE [22704531] FROM DISK='E:\232_AIS_CK\DataMau.mbk'  WITH MOVE 'MISASME2015' TO 'E:\232_AIS_CK\DHKTKT18A\22704531.mdf', MOVE 'MISASME2015_log' TO 'E:\232_AIS_CK\DHKTKT18A\22704531.ldf';</v>
      </c>
      <c r="G60" t="str">
        <f t="shared" si="1"/>
        <v>use [22704531];   update MSC_User set UserName='22704531',FullName=N'Bùi Mỹ Tiên',FirstName=N'Tiên',LastName=N'Bùi Mỹ' where UserName='SV'</v>
      </c>
      <c r="H60" t="str">
        <f t="shared" si="2"/>
        <v>ALTER DATABASE [22704531] SET OFFLINE WITH ROLLBACK IMMEDIATE</v>
      </c>
      <c r="I60" t="str">
        <f t="shared" si="3"/>
        <v>ALTER DATABASE [22704531] SET ONLINE</v>
      </c>
      <c r="J60" t="str">
        <f t="shared" si="4"/>
        <v>insert into [SVLogin].dbo.DuLieu select UserName, FirstName, LastName from [22704531].dbo.MSC_User where UserName &lt;&gt; '0983125672' and MISAID is not null</v>
      </c>
      <c r="K60" t="str">
        <f t="shared" si="5"/>
        <v>EXEC sp_detach_db '22704531', 'true';</v>
      </c>
      <c r="L60" t="str">
        <f t="shared" si="6"/>
        <v>DROP DATABASE [22704531]</v>
      </c>
    </row>
    <row r="61" spans="1:12" x14ac:dyDescent="0.25">
      <c r="A61">
        <v>60</v>
      </c>
      <c r="B61" s="51" t="s">
        <v>361</v>
      </c>
      <c r="C61" t="s">
        <v>362</v>
      </c>
      <c r="D61" t="s">
        <v>169</v>
      </c>
      <c r="E61" t="s">
        <v>389</v>
      </c>
      <c r="F61" t="str">
        <f t="shared" si="0"/>
        <v>RESTORE DATABASE [22642421] FROM DISK='E:\232_AIS_CK\DataMau.mbk'  WITH MOVE 'MISASME2015' TO 'E:\232_AIS_CK\DHKTKT18A\22642421.mdf', MOVE 'MISASME2015_log' TO 'E:\232_AIS_CK\DHKTKT18A\22642421.ldf';</v>
      </c>
      <c r="G61" t="str">
        <f t="shared" si="1"/>
        <v>use [22642421];   update MSC_User set UserName='22642421',FullName=N'Lê Cẩm Tiên',FirstName=N'Tiên',LastName=N'Lê Cẩm' where UserName='SV'</v>
      </c>
      <c r="H61" t="str">
        <f t="shared" si="2"/>
        <v>ALTER DATABASE [22642421] SET OFFLINE WITH ROLLBACK IMMEDIATE</v>
      </c>
      <c r="I61" t="str">
        <f t="shared" si="3"/>
        <v>ALTER DATABASE [22642421] SET ONLINE</v>
      </c>
      <c r="J61" t="str">
        <f t="shared" si="4"/>
        <v>insert into [SVLogin].dbo.DuLieu select UserName, FirstName, LastName from [22642421].dbo.MSC_User where UserName &lt;&gt; '0983125672' and MISAID is not null</v>
      </c>
      <c r="K61" t="str">
        <f t="shared" si="5"/>
        <v>EXEC sp_detach_db '22642421', 'true';</v>
      </c>
      <c r="L61" t="str">
        <f t="shared" si="6"/>
        <v>DROP DATABASE [22642421]</v>
      </c>
    </row>
    <row r="62" spans="1:12" x14ac:dyDescent="0.25">
      <c r="A62">
        <v>61</v>
      </c>
      <c r="B62" s="51" t="s">
        <v>363</v>
      </c>
      <c r="C62" t="s">
        <v>179</v>
      </c>
      <c r="D62" t="s">
        <v>180</v>
      </c>
      <c r="E62" t="s">
        <v>389</v>
      </c>
      <c r="F62" t="str">
        <f t="shared" si="0"/>
        <v>RESTORE DATABASE [22668371] FROM DISK='E:\232_AIS_CK\DataMau.mbk'  WITH MOVE 'MISASME2015' TO 'E:\232_AIS_CK\DHKTKT18A\22668371.mdf', MOVE 'MISASME2015_log' TO 'E:\232_AIS_CK\DHKTKT18A\22668371.ldf';</v>
      </c>
      <c r="G62" t="str">
        <f t="shared" si="1"/>
        <v>use [22668371];   update MSC_User set UserName='22668371',FullName=N'Nguyễn Ngọc Trâm',FirstName=N'Trâm',LastName=N'Nguyễn Ngọc' where UserName='SV'</v>
      </c>
      <c r="H62" t="str">
        <f t="shared" si="2"/>
        <v>ALTER DATABASE [22668371] SET OFFLINE WITH ROLLBACK IMMEDIATE</v>
      </c>
      <c r="I62" t="str">
        <f t="shared" si="3"/>
        <v>ALTER DATABASE [22668371] SET ONLINE</v>
      </c>
      <c r="J62" t="str">
        <f t="shared" si="4"/>
        <v>insert into [SVLogin].dbo.DuLieu select UserName, FirstName, LastName from [22668371].dbo.MSC_User where UserName &lt;&gt; '0983125672' and MISAID is not null</v>
      </c>
      <c r="K62" t="str">
        <f t="shared" si="5"/>
        <v>EXEC sp_detach_db '22668371', 'true';</v>
      </c>
      <c r="L62" t="str">
        <f t="shared" si="6"/>
        <v>DROP DATABASE [22668371]</v>
      </c>
    </row>
    <row r="63" spans="1:12" x14ac:dyDescent="0.25">
      <c r="A63">
        <v>62</v>
      </c>
      <c r="B63" s="51" t="s">
        <v>364</v>
      </c>
      <c r="C63" t="s">
        <v>365</v>
      </c>
      <c r="D63" t="s">
        <v>170</v>
      </c>
      <c r="E63" t="s">
        <v>389</v>
      </c>
      <c r="F63" t="str">
        <f t="shared" si="0"/>
        <v>RESTORE DATABASE [22651781] FROM DISK='E:\232_AIS_CK\DataMau.mbk'  WITH MOVE 'MISASME2015' TO 'E:\232_AIS_CK\DHKTKT18A\22651781.mdf', MOVE 'MISASME2015_log' TO 'E:\232_AIS_CK\DHKTKT18A\22651781.ldf';</v>
      </c>
      <c r="G63" t="str">
        <f t="shared" si="1"/>
        <v>use [22651781];   update MSC_User set UserName='22651781',FullName=N'Phan Ngọc Bảo Trân',FirstName=N'Trân',LastName=N'Phan Ngọc Bảo' where UserName='SV'</v>
      </c>
      <c r="H63" t="str">
        <f t="shared" si="2"/>
        <v>ALTER DATABASE [22651781] SET OFFLINE WITH ROLLBACK IMMEDIATE</v>
      </c>
      <c r="I63" t="str">
        <f t="shared" si="3"/>
        <v>ALTER DATABASE [22651781] SET ONLINE</v>
      </c>
      <c r="J63" t="str">
        <f t="shared" si="4"/>
        <v>insert into [SVLogin].dbo.DuLieu select UserName, FirstName, LastName from [22651781].dbo.MSC_User where UserName &lt;&gt; '0983125672' and MISAID is not null</v>
      </c>
      <c r="K63" t="str">
        <f t="shared" si="5"/>
        <v>EXEC sp_detach_db '22651781', 'true';</v>
      </c>
      <c r="L63" t="str">
        <f t="shared" si="6"/>
        <v>DROP DATABASE [22651781]</v>
      </c>
    </row>
    <row r="64" spans="1:12" x14ac:dyDescent="0.25">
      <c r="A64">
        <v>63</v>
      </c>
      <c r="B64" s="51" t="s">
        <v>366</v>
      </c>
      <c r="C64" t="s">
        <v>187</v>
      </c>
      <c r="D64" t="s">
        <v>172</v>
      </c>
      <c r="E64" t="s">
        <v>389</v>
      </c>
      <c r="F64" t="str">
        <f t="shared" si="0"/>
        <v>RESTORE DATABASE [22689781] FROM DISK='E:\232_AIS_CK\DataMau.mbk'  WITH MOVE 'MISASME2015' TO 'E:\232_AIS_CK\DHKTKT18A\22689781.mdf', MOVE 'MISASME2015_log' TO 'E:\232_AIS_CK\DHKTKT18A\22689781.ldf';</v>
      </c>
      <c r="G64" t="str">
        <f t="shared" si="1"/>
        <v>use [22689781];   update MSC_User set UserName='22689781',FullName=N'Lê Quỳnh Trang',FirstName=N'Trang',LastName=N'Lê Quỳnh' where UserName='SV'</v>
      </c>
      <c r="H64" t="str">
        <f t="shared" si="2"/>
        <v>ALTER DATABASE [22689781] SET OFFLINE WITH ROLLBACK IMMEDIATE</v>
      </c>
      <c r="I64" t="str">
        <f t="shared" si="3"/>
        <v>ALTER DATABASE [22689781] SET ONLINE</v>
      </c>
      <c r="J64" t="str">
        <f t="shared" si="4"/>
        <v>insert into [SVLogin].dbo.DuLieu select UserName, FirstName, LastName from [22689781].dbo.MSC_User where UserName &lt;&gt; '0983125672' and MISAID is not null</v>
      </c>
      <c r="K64" t="str">
        <f t="shared" si="5"/>
        <v>EXEC sp_detach_db '22689781', 'true';</v>
      </c>
      <c r="L64" t="str">
        <f t="shared" si="6"/>
        <v>DROP DATABASE [22689781]</v>
      </c>
    </row>
    <row r="65" spans="1:12" x14ac:dyDescent="0.25">
      <c r="A65">
        <v>64</v>
      </c>
      <c r="B65" s="51" t="s">
        <v>367</v>
      </c>
      <c r="C65" t="s">
        <v>368</v>
      </c>
      <c r="D65" t="s">
        <v>172</v>
      </c>
      <c r="E65" t="s">
        <v>389</v>
      </c>
      <c r="F65" t="str">
        <f t="shared" si="0"/>
        <v>RESTORE DATABASE [22633051] FROM DISK='E:\232_AIS_CK\DataMau.mbk'  WITH MOVE 'MISASME2015' TO 'E:\232_AIS_CK\DHKTKT18A\22633051.mdf', MOVE 'MISASME2015_log' TO 'E:\232_AIS_CK\DHKTKT18A\22633051.ldf';</v>
      </c>
      <c r="G65" t="str">
        <f t="shared" si="1"/>
        <v>use [22633051];   update MSC_User set UserName='22633051',FullName=N'Nguyễn Ngọc Quỳnh Trang',FirstName=N'Trang',LastName=N'Nguyễn Ngọc Quỳnh' where UserName='SV'</v>
      </c>
      <c r="H65" t="str">
        <f t="shared" si="2"/>
        <v>ALTER DATABASE [22633051] SET OFFLINE WITH ROLLBACK IMMEDIATE</v>
      </c>
      <c r="I65" t="str">
        <f t="shared" si="3"/>
        <v>ALTER DATABASE [22633051] SET ONLINE</v>
      </c>
      <c r="J65" t="str">
        <f t="shared" si="4"/>
        <v>insert into [SVLogin].dbo.DuLieu select UserName, FirstName, LastName from [22633051].dbo.MSC_User where UserName &lt;&gt; '0983125672' and MISAID is not null</v>
      </c>
      <c r="K65" t="str">
        <f t="shared" si="5"/>
        <v>EXEC sp_detach_db '22633051', 'true';</v>
      </c>
      <c r="L65" t="str">
        <f t="shared" si="6"/>
        <v>DROP DATABASE [22633051]</v>
      </c>
    </row>
    <row r="66" spans="1:12" x14ac:dyDescent="0.25">
      <c r="A66">
        <v>65</v>
      </c>
      <c r="B66" s="51" t="s">
        <v>369</v>
      </c>
      <c r="C66" t="s">
        <v>370</v>
      </c>
      <c r="D66" t="s">
        <v>172</v>
      </c>
      <c r="E66" t="s">
        <v>389</v>
      </c>
      <c r="F66" t="str">
        <f t="shared" si="0"/>
        <v>RESTORE DATABASE [21000265] FROM DISK='E:\232_AIS_CK\DataMau.mbk'  WITH MOVE 'MISASME2015' TO 'E:\232_AIS_CK\DHKTKT18A\21000265.mdf', MOVE 'MISASME2015_log' TO 'E:\232_AIS_CK\DHKTKT18A\21000265.ldf';</v>
      </c>
      <c r="G66" t="str">
        <f t="shared" si="1"/>
        <v>use [21000265];   update MSC_User set UserName='21000265',FullName=N'Nguyễn Thị Huyền Trang',FirstName=N'Trang',LastName=N'Nguyễn Thị Huyền' where UserName='SV'</v>
      </c>
      <c r="H66" t="str">
        <f t="shared" si="2"/>
        <v>ALTER DATABASE [21000265] SET OFFLINE WITH ROLLBACK IMMEDIATE</v>
      </c>
      <c r="I66" t="str">
        <f t="shared" si="3"/>
        <v>ALTER DATABASE [21000265] SET ONLINE</v>
      </c>
      <c r="J66" t="str">
        <f t="shared" si="4"/>
        <v>insert into [SVLogin].dbo.DuLieu select UserName, FirstName, LastName from [21000265].dbo.MSC_User where UserName &lt;&gt; '0983125672' and MISAID is not null</v>
      </c>
      <c r="K66" t="str">
        <f t="shared" si="5"/>
        <v>EXEC sp_detach_db '21000265', 'true';</v>
      </c>
      <c r="L66" t="str">
        <f t="shared" si="6"/>
        <v>DROP DATABASE [21000265]</v>
      </c>
    </row>
    <row r="67" spans="1:12" x14ac:dyDescent="0.25">
      <c r="A67">
        <v>66</v>
      </c>
      <c r="B67" s="51" t="s">
        <v>371</v>
      </c>
      <c r="C67" t="s">
        <v>372</v>
      </c>
      <c r="D67" t="s">
        <v>373</v>
      </c>
      <c r="E67" t="s">
        <v>389</v>
      </c>
      <c r="F67" t="str">
        <f t="shared" ref="F67:F75" si="7">"RESTORE DATABASE ["&amp;B67&amp;"] FROM DISK='E:\232_AIS_CK\DataMau.mbk'  WITH MOVE 'MISASME2015' TO 'E:\232_AIS_CK\"&amp;E67&amp;"\"&amp;B67&amp;".mdf', MOVE 'MISASME2015_log' TO 'E:\232_AIS_CK\"&amp;E67&amp;"\"&amp;B67&amp;".ldf';"</f>
        <v>RESTORE DATABASE [22686701] FROM DISK='E:\232_AIS_CK\DataMau.mbk'  WITH MOVE 'MISASME2015' TO 'E:\232_AIS_CK\DHKTKT18A\22686701.mdf', MOVE 'MISASME2015_log' TO 'E:\232_AIS_CK\DHKTKT18A\22686701.ldf';</v>
      </c>
      <c r="G67" t="str">
        <f t="shared" ref="G67:G75" si="8">"use ["&amp;B67&amp;"];   update MSC_User set UserName='"&amp;B67&amp;"',FullName=N'"&amp;C67&amp;" "&amp;D67&amp;"',FirstName=N'"&amp;D67&amp;"',LastName=N'"&amp;C67&amp;"' where UserName='SV'"</f>
        <v>use [22686701];   update MSC_User set UserName='22686701',FullName=N'Giang Thanh Trúc',FirstName=N'Trúc',LastName=N'Giang Thanh' where UserName='SV'</v>
      </c>
      <c r="H67" t="str">
        <f t="shared" ref="H67:H75" si="9">"ALTER DATABASE ["&amp;B67&amp;"] SET OFFLINE WITH ROLLBACK IMMEDIATE"</f>
        <v>ALTER DATABASE [22686701] SET OFFLINE WITH ROLLBACK IMMEDIATE</v>
      </c>
      <c r="I67" t="str">
        <f t="shared" ref="I67:I75" si="10">"ALTER DATABASE ["&amp;B67&amp;"] SET ONLINE"</f>
        <v>ALTER DATABASE [22686701] SET ONLINE</v>
      </c>
      <c r="J67" t="str">
        <f t="shared" ref="J67:J75" si="11">"insert into [SVLogin].dbo.DuLieu select UserName, FirstName, LastName from ["&amp;B67&amp;"].dbo.MSC_User where UserName &lt;&gt; '0983125672' and MISAID is not null"</f>
        <v>insert into [SVLogin].dbo.DuLieu select UserName, FirstName, LastName from [22686701].dbo.MSC_User where UserName &lt;&gt; '0983125672' and MISAID is not null</v>
      </c>
      <c r="K67" t="str">
        <f t="shared" ref="K67:K75" si="12">"EXEC sp_detach_db '"&amp;B67&amp;"', 'true';"</f>
        <v>EXEC sp_detach_db '22686701', 'true';</v>
      </c>
      <c r="L67" t="str">
        <f t="shared" ref="L67:L75" si="13">"DROP DATABASE ["&amp;B67&amp;"]"</f>
        <v>DROP DATABASE [22686701]</v>
      </c>
    </row>
    <row r="68" spans="1:12" x14ac:dyDescent="0.25">
      <c r="A68">
        <v>67</v>
      </c>
      <c r="B68" s="51" t="s">
        <v>374</v>
      </c>
      <c r="C68" t="s">
        <v>375</v>
      </c>
      <c r="D68" t="s">
        <v>376</v>
      </c>
      <c r="E68" t="s">
        <v>389</v>
      </c>
      <c r="F68" t="str">
        <f t="shared" si="7"/>
        <v>RESTORE DATABASE [21111861] FROM DISK='E:\232_AIS_CK\DataMau.mbk'  WITH MOVE 'MISASME2015' TO 'E:\232_AIS_CK\DHKTKT18A\21111861.mdf', MOVE 'MISASME2015_log' TO 'E:\232_AIS_CK\DHKTKT18A\21111861.ldf';</v>
      </c>
      <c r="G68" t="str">
        <f t="shared" si="8"/>
        <v>use [21111861];   update MSC_User set UserName='21111861',FullName=N'Hoàng Văn Tường',FirstName=N'Tường',LastName=N'Hoàng Văn' where UserName='SV'</v>
      </c>
      <c r="H68" t="str">
        <f t="shared" si="9"/>
        <v>ALTER DATABASE [21111861] SET OFFLINE WITH ROLLBACK IMMEDIATE</v>
      </c>
      <c r="I68" t="str">
        <f t="shared" si="10"/>
        <v>ALTER DATABASE [21111861] SET ONLINE</v>
      </c>
      <c r="J68" t="str">
        <f t="shared" si="11"/>
        <v>insert into [SVLogin].dbo.DuLieu select UserName, FirstName, LastName from [21111861].dbo.MSC_User where UserName &lt;&gt; '0983125672' and MISAID is not null</v>
      </c>
      <c r="K68" t="str">
        <f t="shared" si="12"/>
        <v>EXEC sp_detach_db '21111861', 'true';</v>
      </c>
      <c r="L68" t="str">
        <f t="shared" si="13"/>
        <v>DROP DATABASE [21111861]</v>
      </c>
    </row>
    <row r="69" spans="1:12" x14ac:dyDescent="0.25">
      <c r="A69">
        <v>68</v>
      </c>
      <c r="B69" s="51" t="s">
        <v>377</v>
      </c>
      <c r="C69" t="s">
        <v>183</v>
      </c>
      <c r="D69" t="s">
        <v>173</v>
      </c>
      <c r="E69" t="s">
        <v>389</v>
      </c>
      <c r="F69" t="str">
        <f t="shared" si="7"/>
        <v>RESTORE DATABASE [21039061] FROM DISK='E:\232_AIS_CK\DataMau.mbk'  WITH MOVE 'MISASME2015' TO 'E:\232_AIS_CK\DHKTKT18A\21039061.mdf', MOVE 'MISASME2015_log' TO 'E:\232_AIS_CK\DHKTKT18A\21039061.ldf';</v>
      </c>
      <c r="G69" t="str">
        <f t="shared" si="8"/>
        <v>use [21039061];   update MSC_User set UserName='21039061',FullName=N'Lê Ngọc Vân',FirstName=N'Vân',LastName=N'Lê Ngọc' where UserName='SV'</v>
      </c>
      <c r="H69" t="str">
        <f t="shared" si="9"/>
        <v>ALTER DATABASE [21039061] SET OFFLINE WITH ROLLBACK IMMEDIATE</v>
      </c>
      <c r="I69" t="str">
        <f t="shared" si="10"/>
        <v>ALTER DATABASE [21039061] SET ONLINE</v>
      </c>
      <c r="J69" t="str">
        <f t="shared" si="11"/>
        <v>insert into [SVLogin].dbo.DuLieu select UserName, FirstName, LastName from [21039061].dbo.MSC_User where UserName &lt;&gt; '0983125672' and MISAID is not null</v>
      </c>
      <c r="K69" t="str">
        <f t="shared" si="12"/>
        <v>EXEC sp_detach_db '21039061', 'true';</v>
      </c>
      <c r="L69" t="str">
        <f t="shared" si="13"/>
        <v>DROP DATABASE [21039061]</v>
      </c>
    </row>
    <row r="70" spans="1:12" x14ac:dyDescent="0.25">
      <c r="A70">
        <v>69</v>
      </c>
      <c r="B70" s="51" t="s">
        <v>378</v>
      </c>
      <c r="C70" t="s">
        <v>179</v>
      </c>
      <c r="D70" t="s">
        <v>379</v>
      </c>
      <c r="E70" t="s">
        <v>389</v>
      </c>
      <c r="F70" t="str">
        <f t="shared" si="7"/>
        <v>RESTORE DATABASE [21003785] FROM DISK='E:\232_AIS_CK\DataMau.mbk'  WITH MOVE 'MISASME2015' TO 'E:\232_AIS_CK\DHKTKT18A\21003785.mdf', MOVE 'MISASME2015_log' TO 'E:\232_AIS_CK\DHKTKT18A\21003785.ldf';</v>
      </c>
      <c r="G70" t="str">
        <f t="shared" si="8"/>
        <v>use [21003785];   update MSC_User set UserName='21003785',FullName=N'Nguyễn Ngọc Vinh',FirstName=N'Vinh',LastName=N'Nguyễn Ngọc' where UserName='SV'</v>
      </c>
      <c r="H70" t="str">
        <f t="shared" si="9"/>
        <v>ALTER DATABASE [21003785] SET OFFLINE WITH ROLLBACK IMMEDIATE</v>
      </c>
      <c r="I70" t="str">
        <f t="shared" si="10"/>
        <v>ALTER DATABASE [21003785] SET ONLINE</v>
      </c>
      <c r="J70" t="str">
        <f t="shared" si="11"/>
        <v>insert into [SVLogin].dbo.DuLieu select UserName, FirstName, LastName from [21003785].dbo.MSC_User where UserName &lt;&gt; '0983125672' and MISAID is not null</v>
      </c>
      <c r="K70" t="str">
        <f t="shared" si="12"/>
        <v>EXEC sp_detach_db '21003785', 'true';</v>
      </c>
      <c r="L70" t="str">
        <f t="shared" si="13"/>
        <v>DROP DATABASE [21003785]</v>
      </c>
    </row>
    <row r="71" spans="1:12" x14ac:dyDescent="0.25">
      <c r="A71">
        <v>70</v>
      </c>
      <c r="B71" s="51" t="s">
        <v>380</v>
      </c>
      <c r="C71" t="s">
        <v>381</v>
      </c>
      <c r="D71" t="s">
        <v>382</v>
      </c>
      <c r="E71" t="s">
        <v>389</v>
      </c>
      <c r="F71" t="str">
        <f t="shared" si="7"/>
        <v>RESTORE DATABASE [21048651] FROM DISK='E:\232_AIS_CK\DataMau.mbk'  WITH MOVE 'MISASME2015' TO 'E:\232_AIS_CK\DHKTKT18A\21048651.mdf', MOVE 'MISASME2015_log' TO 'E:\232_AIS_CK\DHKTKT18A\21048651.ldf';</v>
      </c>
      <c r="G71" t="str">
        <f t="shared" si="8"/>
        <v>use [21048651];   update MSC_User set UserName='21048651',FullName=N'Phan Tuấn Vũ',FirstName=N'Vũ',LastName=N'Phan Tuấn' where UserName='SV'</v>
      </c>
      <c r="H71" t="str">
        <f t="shared" si="9"/>
        <v>ALTER DATABASE [21048651] SET OFFLINE WITH ROLLBACK IMMEDIATE</v>
      </c>
      <c r="I71" t="str">
        <f t="shared" si="10"/>
        <v>ALTER DATABASE [21048651] SET ONLINE</v>
      </c>
      <c r="J71" t="str">
        <f t="shared" si="11"/>
        <v>insert into [SVLogin].dbo.DuLieu select UserName, FirstName, LastName from [21048651].dbo.MSC_User where UserName &lt;&gt; '0983125672' and MISAID is not null</v>
      </c>
      <c r="K71" t="str">
        <f t="shared" si="12"/>
        <v>EXEC sp_detach_db '21048651', 'true';</v>
      </c>
      <c r="L71" t="str">
        <f t="shared" si="13"/>
        <v>DROP DATABASE [21048651]</v>
      </c>
    </row>
    <row r="72" spans="1:12" x14ac:dyDescent="0.25">
      <c r="A72">
        <v>71</v>
      </c>
      <c r="B72" s="51" t="s">
        <v>383</v>
      </c>
      <c r="C72" t="s">
        <v>384</v>
      </c>
      <c r="D72" t="s">
        <v>174</v>
      </c>
      <c r="E72" t="s">
        <v>389</v>
      </c>
      <c r="F72" t="str">
        <f t="shared" si="7"/>
        <v>RESTORE DATABASE [22673321] FROM DISK='E:\232_AIS_CK\DataMau.mbk'  WITH MOVE 'MISASME2015' TO 'E:\232_AIS_CK\DHKTKT18A\22673321.mdf', MOVE 'MISASME2015_log' TO 'E:\232_AIS_CK\DHKTKT18A\22673321.ldf';</v>
      </c>
      <c r="G72" t="str">
        <f t="shared" si="8"/>
        <v>use [22673321];   update MSC_User set UserName='22673321',FullName=N'Nguyễn Hoàng Yến Vy',FirstName=N'Vy',LastName=N'Nguyễn Hoàng Yến' where UserName='SV'</v>
      </c>
      <c r="H72" t="str">
        <f t="shared" si="9"/>
        <v>ALTER DATABASE [22673321] SET OFFLINE WITH ROLLBACK IMMEDIATE</v>
      </c>
      <c r="I72" t="str">
        <f t="shared" si="10"/>
        <v>ALTER DATABASE [22673321] SET ONLINE</v>
      </c>
      <c r="J72" t="str">
        <f t="shared" si="11"/>
        <v>insert into [SVLogin].dbo.DuLieu select UserName, FirstName, LastName from [22673321].dbo.MSC_User where UserName &lt;&gt; '0983125672' and MISAID is not null</v>
      </c>
      <c r="K72" t="str">
        <f t="shared" si="12"/>
        <v>EXEC sp_detach_db '22673321', 'true';</v>
      </c>
      <c r="L72" t="str">
        <f t="shared" si="13"/>
        <v>DROP DATABASE [22673321]</v>
      </c>
    </row>
    <row r="73" spans="1:12" x14ac:dyDescent="0.25">
      <c r="A73">
        <v>72</v>
      </c>
      <c r="B73" s="51" t="s">
        <v>385</v>
      </c>
      <c r="C73" t="s">
        <v>386</v>
      </c>
      <c r="D73" t="s">
        <v>174</v>
      </c>
      <c r="E73" t="s">
        <v>389</v>
      </c>
      <c r="F73" t="str">
        <f t="shared" si="7"/>
        <v>RESTORE DATABASE [22681621] FROM DISK='E:\232_AIS_CK\DataMau.mbk'  WITH MOVE 'MISASME2015' TO 'E:\232_AIS_CK\DHKTKT18A\22681621.mdf', MOVE 'MISASME2015_log' TO 'E:\232_AIS_CK\DHKTKT18A\22681621.ldf';</v>
      </c>
      <c r="G73" t="str">
        <f t="shared" si="8"/>
        <v>use [22681621];   update MSC_User set UserName='22681621',FullName=N'Nguyễn Thị Yến Vy',FirstName=N'Vy',LastName=N'Nguyễn Thị Yến' where UserName='SV'</v>
      </c>
      <c r="H73" t="str">
        <f t="shared" si="9"/>
        <v>ALTER DATABASE [22681621] SET OFFLINE WITH ROLLBACK IMMEDIATE</v>
      </c>
      <c r="I73" t="str">
        <f t="shared" si="10"/>
        <v>ALTER DATABASE [22681621] SET ONLINE</v>
      </c>
      <c r="J73" t="str">
        <f t="shared" si="11"/>
        <v>insert into [SVLogin].dbo.DuLieu select UserName, FirstName, LastName from [22681621].dbo.MSC_User where UserName &lt;&gt; '0983125672' and MISAID is not null</v>
      </c>
      <c r="K73" t="str">
        <f t="shared" si="12"/>
        <v>EXEC sp_detach_db '22681621', 'true';</v>
      </c>
      <c r="L73" t="str">
        <f t="shared" si="13"/>
        <v>DROP DATABASE [22681621]</v>
      </c>
    </row>
    <row r="74" spans="1:12" x14ac:dyDescent="0.25">
      <c r="A74">
        <v>73</v>
      </c>
      <c r="B74" s="51" t="s">
        <v>387</v>
      </c>
      <c r="C74" t="s">
        <v>388</v>
      </c>
      <c r="D74" t="s">
        <v>175</v>
      </c>
      <c r="E74" t="s">
        <v>389</v>
      </c>
      <c r="F74" t="str">
        <f t="shared" si="7"/>
        <v>RESTORE DATABASE [21036971] FROM DISK='E:\232_AIS_CK\DataMau.mbk'  WITH MOVE 'MISASME2015' TO 'E:\232_AIS_CK\DHKTKT18A\21036971.mdf', MOVE 'MISASME2015_log' TO 'E:\232_AIS_CK\DHKTKT18A\21036971.ldf';</v>
      </c>
      <c r="G74" t="str">
        <f t="shared" si="8"/>
        <v>use [21036971];   update MSC_User set UserName='21036971',FullName=N'Nguyễn Hữu Ý',FirstName=N'Ý',LastName=N'Nguyễn Hữu' where UserName='SV'</v>
      </c>
      <c r="H74" t="str">
        <f t="shared" si="9"/>
        <v>ALTER DATABASE [21036971] SET OFFLINE WITH ROLLBACK IMMEDIATE</v>
      </c>
      <c r="I74" t="str">
        <f t="shared" si="10"/>
        <v>ALTER DATABASE [21036971] SET ONLINE</v>
      </c>
      <c r="J74" t="str">
        <f t="shared" si="11"/>
        <v>insert into [SVLogin].dbo.DuLieu select UserName, FirstName, LastName from [21036971].dbo.MSC_User where UserName &lt;&gt; '0983125672' and MISAID is not null</v>
      </c>
      <c r="K74" t="str">
        <f t="shared" si="12"/>
        <v>EXEC sp_detach_db '21036971', 'true';</v>
      </c>
      <c r="L74" t="str">
        <f t="shared" si="13"/>
        <v>DROP DATABASE [21036971]</v>
      </c>
    </row>
    <row r="75" spans="1:12" x14ac:dyDescent="0.25">
      <c r="A75">
        <v>74</v>
      </c>
      <c r="B75" s="52" t="s">
        <v>390</v>
      </c>
      <c r="C75" t="s">
        <v>391</v>
      </c>
      <c r="D75" t="s">
        <v>164</v>
      </c>
      <c r="E75" t="s">
        <v>389</v>
      </c>
      <c r="F75" t="str">
        <f t="shared" si="7"/>
        <v>RESTORE DATABASE [21069221] FROM DISK='E:\232_AIS_CK\DataMau.mbk'  WITH MOVE 'MISASME2015' TO 'E:\232_AIS_CK\DHKTKT18A\21069221.mdf', MOVE 'MISASME2015_log' TO 'E:\232_AIS_CK\DHKTKT18A\21069221.ldf';</v>
      </c>
      <c r="G75" t="str">
        <f t="shared" si="8"/>
        <v>use [21069221];   update MSC_User set UserName='21069221',FullName=N'Trương Kiều Nhi',FirstName=N'Nhi',LastName=N'Trương Kiều' where UserName='SV'</v>
      </c>
      <c r="H75" t="str">
        <f t="shared" si="9"/>
        <v>ALTER DATABASE [21069221] SET OFFLINE WITH ROLLBACK IMMEDIATE</v>
      </c>
      <c r="I75" t="str">
        <f t="shared" si="10"/>
        <v>ALTER DATABASE [21069221] SET ONLINE</v>
      </c>
      <c r="J75" t="str">
        <f t="shared" si="11"/>
        <v>insert into [SVLogin].dbo.DuLieu select UserName, FirstName, LastName from [21069221].dbo.MSC_User where UserName &lt;&gt; '0983125672' and MISAID is not null</v>
      </c>
      <c r="K75" t="str">
        <f t="shared" si="12"/>
        <v>EXEC sp_detach_db '21069221', 'true';</v>
      </c>
      <c r="L75" t="str">
        <f t="shared" si="13"/>
        <v>DROP DATABASE [21069221]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A4FA62-25A4-4C50-AE16-09BD08C76D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TruyVan</vt:lpstr>
      <vt:lpstr>DapAn</vt:lpstr>
      <vt:lpstr>BaiLam</vt:lpstr>
      <vt:lpstr>DanhSach</vt:lpstr>
      <vt:lpstr>Sheet1</vt:lpstr>
      <vt:lpstr>BangDiem</vt:lpstr>
      <vt:lpstr>DatabaseLoi</vt:lpstr>
      <vt:lpstr>DS_Data</vt:lpstr>
      <vt:lpstr>Amount</vt:lpstr>
      <vt:lpstr>BaiLam_DiemSDTH</vt:lpstr>
      <vt:lpstr>BaiLam_DiemSDTS</vt:lpstr>
      <vt:lpstr>BaiLam_NghiepVu</vt:lpstr>
      <vt:lpstr>DanhSach</vt:lpstr>
      <vt:lpstr>DanhSachSV</vt:lpstr>
      <vt:lpstr>GiaTriKhauHao</vt:lpstr>
      <vt:lpstr>HaoMonLuyKe</vt:lpstr>
      <vt:lpstr>ItemCode</vt:lpstr>
      <vt:lpstr>LoaiBC</vt:lpstr>
      <vt:lpstr>MaCT</vt:lpstr>
      <vt:lpstr>NguyenGiaTSCD</vt:lpstr>
      <vt:lpstr>NV</vt:lpstr>
      <vt:lpstr>ReportType</vt:lpstr>
      <vt:lpstr>SoLuong</vt:lpstr>
      <vt:lpstr>TGSDCL</vt:lpstr>
      <vt:lpstr>TGSDTSCD</vt:lpstr>
      <vt:lpstr>TH_DuCo</vt:lpstr>
      <vt:lpstr>TH_DuCoNT</vt:lpstr>
      <vt:lpstr>TH_DuNo</vt:lpstr>
      <vt:lpstr>TH_DuNoNT</vt:lpstr>
      <vt:lpstr>TH_SoLuong</vt:lpstr>
      <vt:lpstr>TH_TK</vt:lpstr>
      <vt:lpstr>TK</vt:lpstr>
      <vt:lpstr>TongCo</vt:lpstr>
      <vt:lpstr>TongNo</vt:lpstr>
      <vt:lpstr>TongSoTien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Phạm</dc:creator>
  <cp:lastModifiedBy>Nguyễn Tấn Xuân</cp:lastModifiedBy>
  <dcterms:created xsi:type="dcterms:W3CDTF">2015-09-05T16:08:40Z</dcterms:created>
  <dcterms:modified xsi:type="dcterms:W3CDTF">2025-06-17T04:08:22Z</dcterms:modified>
</cp:coreProperties>
</file>